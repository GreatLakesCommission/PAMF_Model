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tucker\Documents\Git_Repos\pamf-model\src\cost-estimates\test-cases\"/>
    </mc:Choice>
  </mc:AlternateContent>
  <xr:revisionPtr revIDLastSave="0" documentId="13_ncr:1_{E635D4C8-377A-4816-8C81-AAF39E9AFCE3}" xr6:coauthVersionLast="47" xr6:coauthVersionMax="47" xr10:uidLastSave="{00000000-0000-0000-0000-000000000000}"/>
  <bookViews>
    <workbookView xWindow="-120" yWindow="-120" windowWidth="29040" windowHeight="15840" xr2:uid="{7BB36E50-1A41-4E47-B510-2D7E3410FA74}"/>
  </bookViews>
  <sheets>
    <sheet name="test-data-for-costs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59" i="1" l="1"/>
  <c r="A59" i="1"/>
  <c r="W57" i="1"/>
  <c r="W58" i="1"/>
  <c r="W55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2" i="1"/>
  <c r="A2" i="1" l="1"/>
  <c r="E2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A3" i="1" l="1"/>
  <c r="A4" i="1" l="1"/>
  <c r="A5" i="1" l="1"/>
  <c r="A6" i="1" l="1"/>
  <c r="A7" i="1" l="1"/>
  <c r="A8" i="1" l="1"/>
  <c r="A9" i="1" l="1"/>
  <c r="A10" i="1" l="1"/>
  <c r="A11" i="1" l="1"/>
  <c r="A12" i="1" l="1"/>
  <c r="A13" i="1" l="1"/>
  <c r="A14" i="1" l="1"/>
  <c r="A15" i="1" l="1"/>
  <c r="A16" i="1" l="1"/>
  <c r="A17" i="1" l="1"/>
  <c r="A18" i="1" l="1"/>
  <c r="A19" i="1" l="1"/>
  <c r="A20" i="1" l="1"/>
  <c r="A21" i="1" l="1"/>
  <c r="A22" i="1" l="1"/>
  <c r="A23" i="1" l="1"/>
  <c r="A24" i="1" l="1"/>
  <c r="A25" i="1" l="1"/>
  <c r="A26" i="1" l="1"/>
  <c r="A27" i="1" l="1"/>
  <c r="A28" i="1" l="1"/>
  <c r="A29" i="1" l="1"/>
  <c r="A30" i="1" l="1"/>
  <c r="A31" i="1" l="1"/>
  <c r="A32" i="1" l="1"/>
  <c r="A33" i="1" l="1"/>
  <c r="A34" i="1" l="1"/>
  <c r="A35" i="1" l="1"/>
  <c r="A36" i="1" l="1"/>
  <c r="A37" i="1" l="1"/>
  <c r="A38" i="1" l="1"/>
  <c r="A39" i="1" l="1"/>
  <c r="A40" i="1" l="1"/>
  <c r="A41" i="1" l="1"/>
  <c r="A42" i="1" l="1"/>
  <c r="A43" i="1" l="1"/>
  <c r="A44" i="1" l="1"/>
  <c r="A45" i="1" l="1"/>
  <c r="A46" i="1" l="1"/>
  <c r="A47" i="1" l="1"/>
  <c r="A48" i="1" l="1"/>
  <c r="A49" i="1" l="1"/>
  <c r="A50" i="1" l="1"/>
  <c r="A51" i="1" l="1"/>
  <c r="A52" i="1" l="1"/>
  <c r="A53" i="1" s="1"/>
  <c r="A54" i="1" s="1"/>
  <c r="A55" i="1" s="1"/>
  <c r="A56" i="1" s="1"/>
  <c r="A57" i="1" s="1"/>
  <c r="A58" i="1" s="1"/>
</calcChain>
</file>

<file path=xl/sharedStrings.xml><?xml version="1.0" encoding="utf-8"?>
<sst xmlns="http://schemas.openxmlformats.org/spreadsheetml/2006/main" count="1505" uniqueCount="142">
  <si>
    <t>treatmentid</t>
  </si>
  <si>
    <t>munitid</t>
  </si>
  <si>
    <t>phase</t>
  </si>
  <si>
    <t>treatmethod</t>
  </si>
  <si>
    <t>areaproportion</t>
  </si>
  <si>
    <t>totalareatreated</t>
  </si>
  <si>
    <t>hirecontractor</t>
  </si>
  <si>
    <t>contractorcost</t>
  </si>
  <si>
    <t>rentequipment</t>
  </si>
  <si>
    <t>rentcost</t>
  </si>
  <si>
    <t>studenthours</t>
  </si>
  <si>
    <t>volunteerhours</t>
  </si>
  <si>
    <t>seasonalhours</t>
  </si>
  <si>
    <t>fullhours</t>
  </si>
  <si>
    <t>otherhours</t>
  </si>
  <si>
    <t>herbproduct</t>
  </si>
  <si>
    <t>herbconcentration</t>
  </si>
  <si>
    <t>herbmixvolume</t>
  </si>
  <si>
    <t>glyphplusaddedname</t>
  </si>
  <si>
    <t>glyphplusaddedpercent</t>
  </si>
  <si>
    <t>gasmin</t>
  </si>
  <si>
    <t>gasmax</t>
  </si>
  <si>
    <t>dieselmin</t>
  </si>
  <si>
    <t>dieselmax</t>
  </si>
  <si>
    <t>jetmin</t>
  </si>
  <si>
    <t>jetmax</t>
  </si>
  <si>
    <t>avgasmin</t>
  </si>
  <si>
    <t>avgasmax</t>
  </si>
  <si>
    <t>floodtype</t>
  </si>
  <si>
    <t>floodcontrol</t>
  </si>
  <si>
    <t>floodwattagemin</t>
  </si>
  <si>
    <t>floodwattagemax</t>
  </si>
  <si>
    <t>floodpumphours</t>
  </si>
  <si>
    <t>NA</t>
  </si>
  <si>
    <t>contractor report</t>
  </si>
  <si>
    <t>mechanical; no fuel; treated area &gt; MU</t>
  </si>
  <si>
    <t>herbicide; treated area &gt; MU</t>
  </si>
  <si>
    <t>contractor; treated area &gt; MU</t>
  </si>
  <si>
    <t>mechanical; fuel; treated area &gt; MU</t>
  </si>
  <si>
    <t>flood; no fuel; treated area &gt; MU</t>
  </si>
  <si>
    <t>flood; fuel; treated area &gt; MU</t>
  </si>
  <si>
    <t>contractor; treated area &lt; MU</t>
  </si>
  <si>
    <t>herbicide; treated area &lt; MU</t>
  </si>
  <si>
    <t>mechanical; no fuel; treated area &lt; MU</t>
  </si>
  <si>
    <t>mechanical; fuel; treated area &lt; MU</t>
  </si>
  <si>
    <t>flood; no fuel; treated area &lt; MU</t>
  </si>
  <si>
    <t>flood; fuel; treated area &lt; MU</t>
  </si>
  <si>
    <t>expected_behaviour</t>
  </si>
  <si>
    <t>imazapyr; no fuel</t>
  </si>
  <si>
    <t>glyphosate; no fuel</t>
  </si>
  <si>
    <t>glyphosate plus; no fuel</t>
  </si>
  <si>
    <t>glyphosate; 1 fuel type</t>
  </si>
  <si>
    <t>imazapyr; 1 fuel type</t>
  </si>
  <si>
    <t>glyphosate plus; 1 fuel type</t>
  </si>
  <si>
    <t>pfc; no fuel</t>
  </si>
  <si>
    <t>leave biomass; no fuel</t>
  </si>
  <si>
    <t>remove biomass; no fuel</t>
  </si>
  <si>
    <t>spading; no fuel</t>
  </si>
  <si>
    <t>cut underwater; no fuel</t>
  </si>
  <si>
    <t>pfc; 1 fuel type</t>
  </si>
  <si>
    <t>leave biomass; 1 fuel type</t>
  </si>
  <si>
    <t>remove biomass; 1 fuel type</t>
  </si>
  <si>
    <t>cut underwater; 1 fuel type</t>
  </si>
  <si>
    <t>glyphosate; 2 fuel types</t>
  </si>
  <si>
    <t>imazapyr; 2 fuel types</t>
  </si>
  <si>
    <t>glyphosate plus; 2 fuel types</t>
  </si>
  <si>
    <t>leave biomass; 2 fuel types</t>
  </si>
  <si>
    <t>remove biomass; 2 fuel types</t>
  </si>
  <si>
    <t>cut underwater; 2 fuel types</t>
  </si>
  <si>
    <t>flood; 2 fuel types</t>
  </si>
  <si>
    <t>OTHER management action</t>
  </si>
  <si>
    <t>REST management action</t>
  </si>
  <si>
    <t>translocating; wrong cycle</t>
  </si>
  <si>
    <t>growing; wrong cycle</t>
  </si>
  <si>
    <t>description</t>
  </si>
  <si>
    <t>otherhours below threshold</t>
  </si>
  <si>
    <t>otherhours above threshold</t>
  </si>
  <si>
    <t>totalhoursworked is dominated by categories that are priced out-- keep the record but ignore otherhours</t>
  </si>
  <si>
    <t>treatarea</t>
  </si>
  <si>
    <t>area</t>
  </si>
  <si>
    <t>report_year</t>
  </si>
  <si>
    <t>calculated with 1 fuel type</t>
  </si>
  <si>
    <t>glyphosate; rental</t>
  </si>
  <si>
    <t>imazapyr; rental</t>
  </si>
  <si>
    <t>glyphosate plus; rental</t>
  </si>
  <si>
    <t>cut underwater; rental</t>
  </si>
  <si>
    <t>spading; rental</t>
  </si>
  <si>
    <t>pfc; rental</t>
  </si>
  <si>
    <t>remove biomass; rental</t>
  </si>
  <si>
    <t>leave biomass; rental</t>
  </si>
  <si>
    <t>herbprice</t>
  </si>
  <si>
    <t>glyphplusaddedprice</t>
  </si>
  <si>
    <t>natural flood</t>
  </si>
  <si>
    <t>controlled flood; no fuel</t>
  </si>
  <si>
    <t>controlled flood; 1 fuel type</t>
  </si>
  <si>
    <t>controlled flood; electric</t>
  </si>
  <si>
    <t>totalhoursworked</t>
  </si>
  <si>
    <t>costdetails</t>
  </si>
  <si>
    <t>notes</t>
  </si>
  <si>
    <t>assume flood is contiguous: labor cost not affected by flood size</t>
  </si>
  <si>
    <t>hand tools only; assume no rental</t>
  </si>
  <si>
    <t>multiple reports for same action/phase/mu</t>
  </si>
  <si>
    <t>cost = 1000, per acre= 500</t>
  </si>
  <si>
    <t>cost = 70, per acre = 35</t>
  </si>
  <si>
    <t>cost = 75, per acre = 37.5</t>
  </si>
  <si>
    <t>cost = 130, per acre = 65</t>
  </si>
  <si>
    <t>cost = 215, per acre = 107.50</t>
  </si>
  <si>
    <t>cost = 205, per acre = 102.50</t>
  </si>
  <si>
    <t>cost = 65, per acre = 32.50</t>
  </si>
  <si>
    <t>cost = 105, per acre = 52.50</t>
  </si>
  <si>
    <t>cost  = 105, per acre = 52.50</t>
  </si>
  <si>
    <t>cost = 125, per acre = 62.50</t>
  </si>
  <si>
    <t>cost = 115, per acre = 57.50</t>
  </si>
  <si>
    <t>cost = 270, per acre = 135</t>
  </si>
  <si>
    <t>cost = 315, per acre = 157.50</t>
  </si>
  <si>
    <t>cost = 265, per acre = 132.50</t>
  </si>
  <si>
    <t>cost = 225, per acre = 112.50</t>
  </si>
  <si>
    <t>cost = 310, per acre = 155</t>
  </si>
  <si>
    <t>cost = 275, per acre 137.50</t>
  </si>
  <si>
    <t>cost = 165, per acre = 82.50</t>
  </si>
  <si>
    <t>cost = 500, per acre = 250</t>
  </si>
  <si>
    <t>cost = 35, per acre = 17.50</t>
  </si>
  <si>
    <t>cost = 32.5, per acre = 16.25</t>
  </si>
  <si>
    <t>cost = 62.5, per acre = 31.25</t>
  </si>
  <si>
    <t>cost = 85, per acre = 42.50</t>
  </si>
  <si>
    <t>cost = 2000, per acre = 1000</t>
  </si>
  <si>
    <t>cost = 150, per acre = 75</t>
  </si>
  <si>
    <t>cost = 250, per acre = 125</t>
  </si>
  <si>
    <t>Cost details not given</t>
  </si>
  <si>
    <t>don't calculate cost</t>
  </si>
  <si>
    <t>coordinator-rejected</t>
  </si>
  <si>
    <t>autorejected in checkManage</t>
  </si>
  <si>
    <t>too much of totalhoursworked is otherhours-- not confident in our estimate. Autorejected in checkManage</t>
  </si>
  <si>
    <t>costdetails not asked</t>
  </si>
  <si>
    <t>cost calculations done for all non-rejected reports without an existing cost estimate</t>
  </si>
  <si>
    <t>cost= 1000, per acre = 500</t>
  </si>
  <si>
    <t>does not appear in final cost table</t>
  </si>
  <si>
    <t>all costs for this mu/action/phaseare summed in report 56</t>
  </si>
  <si>
    <t>surfconcentration</t>
  </si>
  <si>
    <t>glyphosate; surfactant; no fuel</t>
  </si>
  <si>
    <t>cost = 125.17, per acre = 62.59</t>
  </si>
  <si>
    <t>total cost = 2000, per acre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</si>
</sst>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3AA3-B437-4482-8D4D-9EE512817183}">
  <dimension ref="A1:AR59"/>
  <sheetViews>
    <sheetView tabSelected="1" zoomScaleNormal="100" workbookViewId="0">
      <pane xSplit="2" ySplit="1" topLeftCell="C38" activePane="bottomRight" state="frozen"/>
      <selection pane="topRight" activeCell="C1" sqref="C1"/>
      <selection pane="bottomLeft" activeCell="A2" sqref="A2"/>
      <selection pane="bottomRight" activeCell="G41" sqref="G41"/>
    </sheetView>
  </sheetViews>
  <sheetFormatPr defaultRowHeight="15" x14ac:dyDescent="0.25"/>
  <cols>
    <col min="1" max="1" width="10.7109375" customWidth="1"/>
    <col min="2" max="2" width="45.7109375" customWidth="1"/>
    <col min="3" max="3" width="12.7109375" customWidth="1"/>
    <col min="4" max="4" width="35" customWidth="1"/>
    <col min="6" max="6" width="11.28515625" customWidth="1"/>
    <col min="9" max="9" width="12.7109375" customWidth="1"/>
    <col min="10" max="10" width="9.28515625" customWidth="1"/>
    <col min="11" max="11" width="5.7109375" customWidth="1"/>
    <col min="12" max="12" width="10" customWidth="1"/>
    <col min="13" max="13" width="11.28515625" customWidth="1"/>
    <col min="14" max="14" width="12.85546875" customWidth="1"/>
    <col min="15" max="15" width="13.5703125" customWidth="1"/>
    <col min="24" max="24" width="12" customWidth="1"/>
    <col min="25" max="25" width="9" customWidth="1"/>
    <col min="27" max="27" width="15.28515625" customWidth="1"/>
    <col min="28" max="28" width="12" customWidth="1"/>
    <col min="29" max="29" width="11" customWidth="1"/>
    <col min="30" max="30" width="9.5703125" customWidth="1"/>
  </cols>
  <sheetData>
    <row r="1" spans="1:44" x14ac:dyDescent="0.25">
      <c r="A1" t="s">
        <v>0</v>
      </c>
      <c r="B1" t="s">
        <v>74</v>
      </c>
      <c r="C1" t="s">
        <v>98</v>
      </c>
      <c r="D1" t="s">
        <v>47</v>
      </c>
      <c r="E1" t="s">
        <v>1</v>
      </c>
      <c r="F1" t="s">
        <v>80</v>
      </c>
      <c r="G1" t="s">
        <v>2</v>
      </c>
      <c r="H1" t="s">
        <v>97</v>
      </c>
      <c r="I1" t="s">
        <v>3</v>
      </c>
      <c r="J1" t="s">
        <v>78</v>
      </c>
      <c r="K1" t="s">
        <v>79</v>
      </c>
      <c r="L1" t="s">
        <v>5</v>
      </c>
      <c r="M1" t="s">
        <v>4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96</v>
      </c>
      <c r="X1" t="s">
        <v>15</v>
      </c>
      <c r="Y1" t="s">
        <v>90</v>
      </c>
      <c r="Z1" t="s">
        <v>16</v>
      </c>
      <c r="AA1" t="s">
        <v>17</v>
      </c>
      <c r="AB1" t="s">
        <v>18</v>
      </c>
      <c r="AC1" t="s">
        <v>19</v>
      </c>
      <c r="AD1" t="s">
        <v>91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138</v>
      </c>
    </row>
    <row r="2" spans="1:44" x14ac:dyDescent="0.25">
      <c r="A2">
        <f>1</f>
        <v>1</v>
      </c>
      <c r="B2" t="s">
        <v>34</v>
      </c>
      <c r="D2" t="s">
        <v>102</v>
      </c>
      <c r="E2">
        <f>1</f>
        <v>1</v>
      </c>
      <c r="F2">
        <v>2000</v>
      </c>
      <c r="G2">
        <v>1</v>
      </c>
      <c r="H2">
        <v>1</v>
      </c>
      <c r="I2">
        <v>5</v>
      </c>
      <c r="J2">
        <v>1</v>
      </c>
      <c r="K2">
        <v>2</v>
      </c>
      <c r="L2" t="s">
        <v>33</v>
      </c>
      <c r="M2" t="s">
        <v>33</v>
      </c>
      <c r="N2">
        <v>1</v>
      </c>
      <c r="O2">
        <v>1000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>
        <f>SUM(R2:V2)</f>
        <v>0</v>
      </c>
      <c r="X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33</v>
      </c>
      <c r="AE2" t="s">
        <v>33</v>
      </c>
      <c r="AF2" t="s">
        <v>33</v>
      </c>
      <c r="AG2" t="s">
        <v>33</v>
      </c>
      <c r="AH2" t="s">
        <v>33</v>
      </c>
      <c r="AI2" t="s">
        <v>33</v>
      </c>
      <c r="AJ2" t="s">
        <v>33</v>
      </c>
      <c r="AK2" t="s">
        <v>33</v>
      </c>
      <c r="AL2" t="s">
        <v>33</v>
      </c>
      <c r="AM2" t="s">
        <v>33</v>
      </c>
      <c r="AN2" t="s">
        <v>33</v>
      </c>
      <c r="AO2" t="s">
        <v>33</v>
      </c>
      <c r="AP2" t="s">
        <v>33</v>
      </c>
      <c r="AQ2" t="s">
        <v>33</v>
      </c>
      <c r="AR2" t="s">
        <v>33</v>
      </c>
    </row>
    <row r="3" spans="1:44" x14ac:dyDescent="0.25">
      <c r="A3">
        <f>A2+1</f>
        <v>2</v>
      </c>
      <c r="B3" t="s">
        <v>49</v>
      </c>
      <c r="D3" s="1" t="s">
        <v>103</v>
      </c>
      <c r="E3">
        <f>E2+1</f>
        <v>2</v>
      </c>
      <c r="F3">
        <v>2000</v>
      </c>
      <c r="G3">
        <v>1</v>
      </c>
      <c r="H3">
        <v>1</v>
      </c>
      <c r="I3">
        <v>0</v>
      </c>
      <c r="J3">
        <v>1</v>
      </c>
      <c r="K3">
        <v>2</v>
      </c>
      <c r="L3" t="s">
        <v>33</v>
      </c>
      <c r="M3" t="s">
        <v>33</v>
      </c>
      <c r="N3">
        <v>0</v>
      </c>
      <c r="O3" t="s">
        <v>33</v>
      </c>
      <c r="P3">
        <v>0</v>
      </c>
      <c r="Q3" t="s">
        <v>33</v>
      </c>
      <c r="R3">
        <v>1</v>
      </c>
      <c r="S3">
        <v>1</v>
      </c>
      <c r="T3">
        <v>1</v>
      </c>
      <c r="U3">
        <v>1</v>
      </c>
      <c r="V3" t="s">
        <v>33</v>
      </c>
      <c r="W3">
        <f t="shared" ref="W3:W54" si="0">SUM(R3:V3)</f>
        <v>4</v>
      </c>
      <c r="X3">
        <v>1</v>
      </c>
      <c r="Y3">
        <v>10</v>
      </c>
      <c r="Z3">
        <v>25</v>
      </c>
      <c r="AA3">
        <v>2</v>
      </c>
      <c r="AB3" t="s">
        <v>33</v>
      </c>
      <c r="AC3" t="s">
        <v>33</v>
      </c>
      <c r="AD3" t="s">
        <v>33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s">
        <v>33</v>
      </c>
      <c r="AN3" t="s">
        <v>33</v>
      </c>
      <c r="AO3" t="s">
        <v>33</v>
      </c>
      <c r="AP3" t="s">
        <v>33</v>
      </c>
      <c r="AQ3" t="s">
        <v>33</v>
      </c>
      <c r="AR3" t="s">
        <v>33</v>
      </c>
    </row>
    <row r="4" spans="1:44" s="1" customFormat="1" x14ac:dyDescent="0.25">
      <c r="A4" s="1">
        <f t="shared" ref="A4:A58" si="1">A3+1</f>
        <v>3</v>
      </c>
      <c r="B4" s="1" t="s">
        <v>48</v>
      </c>
      <c r="D4" s="1" t="s">
        <v>104</v>
      </c>
      <c r="E4" s="1">
        <f t="shared" ref="E4:E57" si="2">E3+1</f>
        <v>3</v>
      </c>
      <c r="F4" s="1">
        <v>2000</v>
      </c>
      <c r="G4" s="1">
        <v>1</v>
      </c>
      <c r="H4" s="1">
        <v>1</v>
      </c>
      <c r="I4" s="1">
        <v>1</v>
      </c>
      <c r="J4" s="1">
        <v>1</v>
      </c>
      <c r="K4" s="1">
        <v>2</v>
      </c>
      <c r="L4" s="1" t="s">
        <v>33</v>
      </c>
      <c r="M4" s="1" t="s">
        <v>33</v>
      </c>
      <c r="N4" s="1">
        <v>0</v>
      </c>
      <c r="O4" s="1" t="s">
        <v>33</v>
      </c>
      <c r="P4" s="1">
        <v>0</v>
      </c>
      <c r="Q4" s="1" t="s">
        <v>33</v>
      </c>
      <c r="R4" s="1">
        <v>1</v>
      </c>
      <c r="S4" s="1">
        <v>1</v>
      </c>
      <c r="T4" s="1">
        <v>1</v>
      </c>
      <c r="U4" s="1">
        <v>1</v>
      </c>
      <c r="V4" s="1" t="s">
        <v>33</v>
      </c>
      <c r="W4" s="1">
        <f t="shared" si="0"/>
        <v>4</v>
      </c>
      <c r="X4" s="1">
        <v>1</v>
      </c>
      <c r="Y4" s="1">
        <v>20</v>
      </c>
      <c r="Z4">
        <v>25</v>
      </c>
      <c r="AA4" s="1">
        <v>2</v>
      </c>
      <c r="AB4" s="1" t="s">
        <v>33</v>
      </c>
      <c r="AC4" s="1" t="s">
        <v>33</v>
      </c>
      <c r="AD4" s="1" t="s">
        <v>33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 t="s">
        <v>33</v>
      </c>
      <c r="AN4" s="1" t="s">
        <v>33</v>
      </c>
      <c r="AO4" s="1" t="s">
        <v>33</v>
      </c>
      <c r="AP4" s="1" t="s">
        <v>33</v>
      </c>
      <c r="AQ4" s="1" t="s">
        <v>33</v>
      </c>
      <c r="AR4" t="s">
        <v>33</v>
      </c>
    </row>
    <row r="5" spans="1:44" x14ac:dyDescent="0.25">
      <c r="A5">
        <f t="shared" si="1"/>
        <v>4</v>
      </c>
      <c r="B5" t="s">
        <v>50</v>
      </c>
      <c r="D5" s="1" t="s">
        <v>109</v>
      </c>
      <c r="E5">
        <f t="shared" si="2"/>
        <v>4</v>
      </c>
      <c r="F5">
        <v>2000</v>
      </c>
      <c r="G5">
        <v>1</v>
      </c>
      <c r="H5">
        <v>1</v>
      </c>
      <c r="I5">
        <v>2</v>
      </c>
      <c r="J5">
        <v>1</v>
      </c>
      <c r="K5">
        <v>2</v>
      </c>
      <c r="L5" t="s">
        <v>33</v>
      </c>
      <c r="M5" t="s">
        <v>33</v>
      </c>
      <c r="N5">
        <v>0</v>
      </c>
      <c r="O5" t="s">
        <v>33</v>
      </c>
      <c r="P5">
        <v>0</v>
      </c>
      <c r="Q5" t="s">
        <v>33</v>
      </c>
      <c r="R5">
        <v>1</v>
      </c>
      <c r="S5">
        <v>1</v>
      </c>
      <c r="T5">
        <v>1</v>
      </c>
      <c r="U5">
        <v>1</v>
      </c>
      <c r="V5" t="s">
        <v>33</v>
      </c>
      <c r="W5">
        <f t="shared" si="0"/>
        <v>4</v>
      </c>
      <c r="X5">
        <v>2</v>
      </c>
      <c r="Y5">
        <v>15</v>
      </c>
      <c r="Z5">
        <v>25</v>
      </c>
      <c r="AA5">
        <v>4</v>
      </c>
      <c r="AB5">
        <v>2</v>
      </c>
      <c r="AC5">
        <v>25</v>
      </c>
      <c r="AD5">
        <v>25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s">
        <v>33</v>
      </c>
      <c r="AN5" t="s">
        <v>33</v>
      </c>
      <c r="AO5" t="s">
        <v>33</v>
      </c>
      <c r="AP5" t="s">
        <v>33</v>
      </c>
      <c r="AQ5" t="s">
        <v>33</v>
      </c>
      <c r="AR5" t="s">
        <v>33</v>
      </c>
    </row>
    <row r="6" spans="1:44" x14ac:dyDescent="0.25">
      <c r="A6">
        <f t="shared" si="1"/>
        <v>5</v>
      </c>
      <c r="B6" t="s">
        <v>51</v>
      </c>
      <c r="D6" s="1" t="s">
        <v>105</v>
      </c>
      <c r="E6">
        <f t="shared" si="2"/>
        <v>5</v>
      </c>
      <c r="F6">
        <v>2000</v>
      </c>
      <c r="G6">
        <v>1</v>
      </c>
      <c r="H6">
        <v>1</v>
      </c>
      <c r="I6">
        <v>0</v>
      </c>
      <c r="J6">
        <v>1</v>
      </c>
      <c r="K6">
        <v>2</v>
      </c>
      <c r="L6" t="s">
        <v>33</v>
      </c>
      <c r="M6" t="s">
        <v>33</v>
      </c>
      <c r="N6">
        <v>0</v>
      </c>
      <c r="O6" t="s">
        <v>33</v>
      </c>
      <c r="P6">
        <v>0</v>
      </c>
      <c r="Q6" t="s">
        <v>33</v>
      </c>
      <c r="R6">
        <v>1</v>
      </c>
      <c r="S6">
        <v>1</v>
      </c>
      <c r="T6">
        <v>1</v>
      </c>
      <c r="U6">
        <v>1</v>
      </c>
      <c r="V6" t="s">
        <v>33</v>
      </c>
      <c r="W6">
        <f t="shared" si="0"/>
        <v>4</v>
      </c>
      <c r="X6">
        <v>1</v>
      </c>
      <c r="Y6">
        <v>10</v>
      </c>
      <c r="Z6">
        <v>25</v>
      </c>
      <c r="AA6">
        <v>2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  <c r="AG6">
        <v>10</v>
      </c>
      <c r="AH6">
        <v>30</v>
      </c>
      <c r="AI6" t="s">
        <v>33</v>
      </c>
      <c r="AJ6" t="s">
        <v>33</v>
      </c>
      <c r="AK6" t="s">
        <v>33</v>
      </c>
      <c r="AL6" t="s">
        <v>33</v>
      </c>
      <c r="AM6" t="s">
        <v>33</v>
      </c>
      <c r="AN6" t="s">
        <v>33</v>
      </c>
      <c r="AO6" t="s">
        <v>33</v>
      </c>
      <c r="AP6" t="s">
        <v>33</v>
      </c>
      <c r="AQ6" t="s">
        <v>33</v>
      </c>
      <c r="AR6" t="s">
        <v>33</v>
      </c>
    </row>
    <row r="7" spans="1:44" x14ac:dyDescent="0.25">
      <c r="A7">
        <f t="shared" si="1"/>
        <v>6</v>
      </c>
      <c r="B7" t="s">
        <v>52</v>
      </c>
      <c r="D7" s="1" t="s">
        <v>106</v>
      </c>
      <c r="E7">
        <f t="shared" si="2"/>
        <v>6</v>
      </c>
      <c r="F7">
        <v>2000</v>
      </c>
      <c r="G7">
        <v>1</v>
      </c>
      <c r="H7">
        <v>1</v>
      </c>
      <c r="I7">
        <v>1</v>
      </c>
      <c r="J7">
        <v>1</v>
      </c>
      <c r="K7">
        <v>2</v>
      </c>
      <c r="L7" t="s">
        <v>33</v>
      </c>
      <c r="M7" t="s">
        <v>33</v>
      </c>
      <c r="N7">
        <v>0</v>
      </c>
      <c r="O7" t="s">
        <v>33</v>
      </c>
      <c r="P7">
        <v>0</v>
      </c>
      <c r="Q7" t="s">
        <v>33</v>
      </c>
      <c r="R7">
        <v>1</v>
      </c>
      <c r="S7">
        <v>1</v>
      </c>
      <c r="T7">
        <v>1</v>
      </c>
      <c r="U7">
        <v>1</v>
      </c>
      <c r="V7" t="s">
        <v>33</v>
      </c>
      <c r="W7">
        <f t="shared" si="0"/>
        <v>4</v>
      </c>
      <c r="X7">
        <v>1</v>
      </c>
      <c r="Y7">
        <v>20</v>
      </c>
      <c r="Z7">
        <v>25</v>
      </c>
      <c r="AA7">
        <v>2</v>
      </c>
      <c r="AB7" t="s">
        <v>33</v>
      </c>
      <c r="AC7" t="s">
        <v>33</v>
      </c>
      <c r="AD7" t="s">
        <v>33</v>
      </c>
      <c r="AE7" t="s">
        <v>33</v>
      </c>
      <c r="AF7" t="s">
        <v>33</v>
      </c>
      <c r="AG7" t="s">
        <v>33</v>
      </c>
      <c r="AH7" t="s">
        <v>33</v>
      </c>
      <c r="AI7">
        <v>10</v>
      </c>
      <c r="AJ7">
        <v>30</v>
      </c>
      <c r="AK7" t="s">
        <v>33</v>
      </c>
      <c r="AL7" t="s">
        <v>33</v>
      </c>
      <c r="AM7" t="s">
        <v>33</v>
      </c>
      <c r="AN7" t="s">
        <v>33</v>
      </c>
      <c r="AO7" t="s">
        <v>33</v>
      </c>
      <c r="AP7" t="s">
        <v>33</v>
      </c>
      <c r="AQ7" t="s">
        <v>33</v>
      </c>
      <c r="AR7" t="s">
        <v>33</v>
      </c>
    </row>
    <row r="8" spans="1:44" x14ac:dyDescent="0.25">
      <c r="A8">
        <f t="shared" si="1"/>
        <v>7</v>
      </c>
      <c r="B8" t="s">
        <v>53</v>
      </c>
      <c r="D8" s="1" t="s">
        <v>107</v>
      </c>
      <c r="E8">
        <f t="shared" si="2"/>
        <v>7</v>
      </c>
      <c r="F8">
        <v>2000</v>
      </c>
      <c r="G8">
        <v>1</v>
      </c>
      <c r="H8">
        <v>1</v>
      </c>
      <c r="I8">
        <v>2</v>
      </c>
      <c r="J8">
        <v>1</v>
      </c>
      <c r="K8">
        <v>2</v>
      </c>
      <c r="L8" t="s">
        <v>33</v>
      </c>
      <c r="M8" t="s">
        <v>33</v>
      </c>
      <c r="N8">
        <v>0</v>
      </c>
      <c r="O8" t="s">
        <v>33</v>
      </c>
      <c r="P8">
        <v>0</v>
      </c>
      <c r="Q8" t="s">
        <v>33</v>
      </c>
      <c r="R8">
        <v>1</v>
      </c>
      <c r="S8">
        <v>1</v>
      </c>
      <c r="T8">
        <v>1</v>
      </c>
      <c r="U8">
        <v>1</v>
      </c>
      <c r="V8" t="s">
        <v>33</v>
      </c>
      <c r="W8">
        <f t="shared" si="0"/>
        <v>4</v>
      </c>
      <c r="X8">
        <v>2</v>
      </c>
      <c r="Y8">
        <v>15</v>
      </c>
      <c r="Z8">
        <v>25</v>
      </c>
      <c r="AA8">
        <v>4</v>
      </c>
      <c r="AB8">
        <v>2</v>
      </c>
      <c r="AC8">
        <v>25</v>
      </c>
      <c r="AD8">
        <v>25</v>
      </c>
      <c r="AE8" t="s">
        <v>33</v>
      </c>
      <c r="AF8" t="s">
        <v>33</v>
      </c>
      <c r="AG8" t="s">
        <v>33</v>
      </c>
      <c r="AH8" t="s">
        <v>33</v>
      </c>
      <c r="AI8" t="s">
        <v>33</v>
      </c>
      <c r="AJ8" t="s">
        <v>33</v>
      </c>
      <c r="AK8">
        <v>10</v>
      </c>
      <c r="AL8">
        <v>30</v>
      </c>
      <c r="AM8" t="s">
        <v>33</v>
      </c>
      <c r="AN8" t="s">
        <v>33</v>
      </c>
      <c r="AO8" t="s">
        <v>33</v>
      </c>
      <c r="AP8" t="s">
        <v>33</v>
      </c>
      <c r="AQ8" t="s">
        <v>33</v>
      </c>
      <c r="AR8" t="s">
        <v>33</v>
      </c>
    </row>
    <row r="9" spans="1:44" s="1" customFormat="1" x14ac:dyDescent="0.25">
      <c r="A9" s="1">
        <f t="shared" si="1"/>
        <v>8</v>
      </c>
      <c r="B9" s="1" t="s">
        <v>54</v>
      </c>
      <c r="D9" s="1" t="s">
        <v>108</v>
      </c>
      <c r="E9" s="1">
        <f t="shared" si="2"/>
        <v>8</v>
      </c>
      <c r="F9" s="1">
        <v>2000</v>
      </c>
      <c r="G9" s="1">
        <v>1</v>
      </c>
      <c r="H9" s="1">
        <v>1</v>
      </c>
      <c r="I9" s="1">
        <v>6</v>
      </c>
      <c r="J9" s="1">
        <v>1</v>
      </c>
      <c r="K9" s="1">
        <v>2</v>
      </c>
      <c r="L9" s="1" t="s">
        <v>33</v>
      </c>
      <c r="M9" s="1" t="s">
        <v>33</v>
      </c>
      <c r="N9" s="1">
        <v>0</v>
      </c>
      <c r="O9" s="1" t="s">
        <v>33</v>
      </c>
      <c r="P9" s="1">
        <v>0</v>
      </c>
      <c r="Q9" s="1" t="s">
        <v>33</v>
      </c>
      <c r="R9" s="1">
        <v>1</v>
      </c>
      <c r="S9" s="1">
        <v>1</v>
      </c>
      <c r="T9" s="1">
        <v>1</v>
      </c>
      <c r="U9" s="1">
        <v>1</v>
      </c>
      <c r="V9" s="1" t="s">
        <v>33</v>
      </c>
      <c r="W9" s="1">
        <f t="shared" si="0"/>
        <v>4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>
        <v>0</v>
      </c>
      <c r="AF9" s="1">
        <v>0</v>
      </c>
      <c r="AG9" s="1">
        <v>0</v>
      </c>
      <c r="AH9" s="1">
        <v>0</v>
      </c>
      <c r="AI9" s="1" t="s">
        <v>33</v>
      </c>
      <c r="AJ9" s="1" t="s">
        <v>33</v>
      </c>
      <c r="AK9" s="1" t="s">
        <v>33</v>
      </c>
      <c r="AL9" s="1" t="s">
        <v>33</v>
      </c>
      <c r="AM9" s="1" t="s">
        <v>33</v>
      </c>
      <c r="AN9" s="1" t="s">
        <v>33</v>
      </c>
      <c r="AO9" s="1" t="s">
        <v>33</v>
      </c>
      <c r="AP9" s="1" t="s">
        <v>33</v>
      </c>
      <c r="AQ9" s="1" t="s">
        <v>33</v>
      </c>
      <c r="AR9" t="s">
        <v>33</v>
      </c>
    </row>
    <row r="10" spans="1:44" s="1" customFormat="1" x14ac:dyDescent="0.25">
      <c r="A10" s="1">
        <f t="shared" si="1"/>
        <v>9</v>
      </c>
      <c r="B10" s="1" t="s">
        <v>55</v>
      </c>
      <c r="D10" s="1" t="s">
        <v>108</v>
      </c>
      <c r="E10" s="1">
        <f t="shared" si="2"/>
        <v>9</v>
      </c>
      <c r="F10" s="1">
        <v>2000</v>
      </c>
      <c r="G10" s="1">
        <v>1</v>
      </c>
      <c r="H10" s="1">
        <v>1</v>
      </c>
      <c r="I10" s="1">
        <v>9</v>
      </c>
      <c r="J10" s="1">
        <v>1</v>
      </c>
      <c r="K10" s="1">
        <v>2</v>
      </c>
      <c r="L10" s="1" t="s">
        <v>33</v>
      </c>
      <c r="M10" s="1" t="s">
        <v>33</v>
      </c>
      <c r="N10" s="1">
        <v>0</v>
      </c>
      <c r="O10" s="1" t="s">
        <v>33</v>
      </c>
      <c r="P10" s="1">
        <v>0</v>
      </c>
      <c r="Q10" s="1" t="s">
        <v>33</v>
      </c>
      <c r="R10" s="1">
        <v>1</v>
      </c>
      <c r="S10" s="1">
        <v>1</v>
      </c>
      <c r="T10" s="1">
        <v>1</v>
      </c>
      <c r="U10" s="1">
        <v>1</v>
      </c>
      <c r="V10" s="1" t="s">
        <v>33</v>
      </c>
      <c r="W10" s="1">
        <f t="shared" si="0"/>
        <v>4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>
        <v>0</v>
      </c>
      <c r="AF10" s="1">
        <v>0</v>
      </c>
      <c r="AG10" s="1">
        <v>0</v>
      </c>
      <c r="AH10" s="1">
        <v>0</v>
      </c>
      <c r="AI10" s="1" t="s">
        <v>33</v>
      </c>
      <c r="AJ10" s="1" t="s">
        <v>33</v>
      </c>
      <c r="AK10" s="1" t="s">
        <v>33</v>
      </c>
      <c r="AL10" s="1" t="s">
        <v>33</v>
      </c>
      <c r="AM10" s="1" t="s">
        <v>33</v>
      </c>
      <c r="AN10" s="1" t="s">
        <v>33</v>
      </c>
      <c r="AO10" s="1" t="s">
        <v>33</v>
      </c>
      <c r="AP10" s="1" t="s">
        <v>33</v>
      </c>
      <c r="AQ10" s="1" t="s">
        <v>33</v>
      </c>
      <c r="AR10" t="s">
        <v>33</v>
      </c>
    </row>
    <row r="11" spans="1:44" s="1" customFormat="1" x14ac:dyDescent="0.25">
      <c r="A11" s="1">
        <f t="shared" si="1"/>
        <v>10</v>
      </c>
      <c r="B11" s="1" t="s">
        <v>56</v>
      </c>
      <c r="D11" s="1" t="s">
        <v>108</v>
      </c>
      <c r="E11" s="1">
        <f t="shared" si="2"/>
        <v>10</v>
      </c>
      <c r="F11" s="1">
        <v>2000</v>
      </c>
      <c r="G11" s="1">
        <v>1</v>
      </c>
      <c r="H11" s="1">
        <v>1</v>
      </c>
      <c r="I11" s="1">
        <v>7</v>
      </c>
      <c r="J11" s="1">
        <v>1</v>
      </c>
      <c r="K11" s="1">
        <v>2</v>
      </c>
      <c r="L11" s="1" t="s">
        <v>33</v>
      </c>
      <c r="M11" s="1" t="s">
        <v>33</v>
      </c>
      <c r="N11" s="1">
        <v>0</v>
      </c>
      <c r="O11" s="1" t="s">
        <v>33</v>
      </c>
      <c r="P11" s="1">
        <v>0</v>
      </c>
      <c r="Q11" s="1" t="s">
        <v>33</v>
      </c>
      <c r="R11" s="1">
        <v>1</v>
      </c>
      <c r="S11" s="1">
        <v>1</v>
      </c>
      <c r="T11" s="1">
        <v>1</v>
      </c>
      <c r="U11" s="1">
        <v>1</v>
      </c>
      <c r="V11" s="1" t="s">
        <v>33</v>
      </c>
      <c r="W11" s="1">
        <f t="shared" si="0"/>
        <v>4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1" t="s">
        <v>33</v>
      </c>
      <c r="AD11" s="1" t="s">
        <v>33</v>
      </c>
      <c r="AE11" s="1">
        <v>0</v>
      </c>
      <c r="AF11" s="1">
        <v>0</v>
      </c>
      <c r="AG11" s="1">
        <v>0</v>
      </c>
      <c r="AH11" s="1">
        <v>0</v>
      </c>
      <c r="AI11" s="1" t="s">
        <v>33</v>
      </c>
      <c r="AJ11" s="1" t="s">
        <v>33</v>
      </c>
      <c r="AK11" s="1" t="s">
        <v>33</v>
      </c>
      <c r="AL11" s="1" t="s">
        <v>33</v>
      </c>
      <c r="AM11" s="1" t="s">
        <v>33</v>
      </c>
      <c r="AN11" s="1" t="s">
        <v>33</v>
      </c>
      <c r="AO11" s="1" t="s">
        <v>33</v>
      </c>
      <c r="AP11" s="1" t="s">
        <v>33</v>
      </c>
      <c r="AQ11" s="1" t="s">
        <v>33</v>
      </c>
      <c r="AR11" t="s">
        <v>33</v>
      </c>
    </row>
    <row r="12" spans="1:44" s="1" customFormat="1" x14ac:dyDescent="0.25">
      <c r="A12" s="1">
        <f t="shared" si="1"/>
        <v>11</v>
      </c>
      <c r="B12" s="1" t="s">
        <v>57</v>
      </c>
      <c r="D12" s="1" t="s">
        <v>108</v>
      </c>
      <c r="E12" s="1">
        <f t="shared" si="2"/>
        <v>11</v>
      </c>
      <c r="F12" s="1">
        <v>2000</v>
      </c>
      <c r="G12" s="1">
        <v>1</v>
      </c>
      <c r="H12" s="1">
        <v>1</v>
      </c>
      <c r="I12" s="1">
        <v>5</v>
      </c>
      <c r="J12" s="1">
        <v>1</v>
      </c>
      <c r="K12" s="1">
        <v>2</v>
      </c>
      <c r="L12" s="1" t="s">
        <v>33</v>
      </c>
      <c r="M12" s="1" t="s">
        <v>33</v>
      </c>
      <c r="N12" s="1">
        <v>0</v>
      </c>
      <c r="O12" s="1" t="s">
        <v>33</v>
      </c>
      <c r="P12" s="1">
        <v>0</v>
      </c>
      <c r="Q12" s="1" t="s">
        <v>33</v>
      </c>
      <c r="R12" s="1">
        <v>1</v>
      </c>
      <c r="S12" s="1">
        <v>1</v>
      </c>
      <c r="T12" s="1">
        <v>1</v>
      </c>
      <c r="U12" s="1">
        <v>1</v>
      </c>
      <c r="V12" s="1" t="s">
        <v>33</v>
      </c>
      <c r="W12" s="1">
        <f t="shared" si="0"/>
        <v>4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  <c r="AF12" s="1" t="s">
        <v>33</v>
      </c>
      <c r="AG12" s="1" t="s">
        <v>33</v>
      </c>
      <c r="AH12" s="1" t="s">
        <v>33</v>
      </c>
      <c r="AI12" s="1" t="s">
        <v>33</v>
      </c>
      <c r="AJ12" s="1" t="s">
        <v>33</v>
      </c>
      <c r="AK12" s="1" t="s">
        <v>33</v>
      </c>
      <c r="AL12" s="1" t="s">
        <v>33</v>
      </c>
      <c r="AM12" s="1" t="s">
        <v>33</v>
      </c>
      <c r="AN12" s="1" t="s">
        <v>33</v>
      </c>
      <c r="AO12" s="1" t="s">
        <v>33</v>
      </c>
      <c r="AP12" s="1" t="s">
        <v>33</v>
      </c>
      <c r="AQ12" s="1" t="s">
        <v>33</v>
      </c>
      <c r="AR12" t="s">
        <v>33</v>
      </c>
    </row>
    <row r="13" spans="1:44" s="1" customFormat="1" x14ac:dyDescent="0.25">
      <c r="A13" s="1">
        <f t="shared" si="1"/>
        <v>12</v>
      </c>
      <c r="B13" s="1" t="s">
        <v>58</v>
      </c>
      <c r="D13" s="1" t="s">
        <v>108</v>
      </c>
      <c r="E13" s="1">
        <f t="shared" si="2"/>
        <v>12</v>
      </c>
      <c r="F13" s="1">
        <v>2000</v>
      </c>
      <c r="G13" s="1">
        <v>1</v>
      </c>
      <c r="H13" s="1">
        <v>1</v>
      </c>
      <c r="I13" s="1">
        <v>4</v>
      </c>
      <c r="J13" s="1">
        <v>1</v>
      </c>
      <c r="K13" s="1">
        <v>2</v>
      </c>
      <c r="L13" s="1" t="s">
        <v>33</v>
      </c>
      <c r="M13" s="1" t="s">
        <v>33</v>
      </c>
      <c r="N13" s="1">
        <v>0</v>
      </c>
      <c r="O13" s="1" t="s">
        <v>33</v>
      </c>
      <c r="P13" s="1">
        <v>0</v>
      </c>
      <c r="Q13" s="1" t="s">
        <v>33</v>
      </c>
      <c r="R13" s="1">
        <v>1</v>
      </c>
      <c r="S13" s="1">
        <v>1</v>
      </c>
      <c r="T13" s="1">
        <v>1</v>
      </c>
      <c r="U13" s="1">
        <v>1</v>
      </c>
      <c r="V13" s="1" t="s">
        <v>33</v>
      </c>
      <c r="W13" s="1">
        <f t="shared" si="0"/>
        <v>4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>
        <v>0</v>
      </c>
      <c r="AF13" s="1">
        <v>0</v>
      </c>
      <c r="AG13" s="1">
        <v>0</v>
      </c>
      <c r="AH13" s="1">
        <v>0</v>
      </c>
      <c r="AI13" s="1" t="s">
        <v>33</v>
      </c>
      <c r="AJ13" s="1" t="s">
        <v>33</v>
      </c>
      <c r="AK13" s="1" t="s">
        <v>33</v>
      </c>
      <c r="AL13" s="1" t="s">
        <v>33</v>
      </c>
      <c r="AM13" s="1" t="s">
        <v>33</v>
      </c>
      <c r="AN13" s="1" t="s">
        <v>33</v>
      </c>
      <c r="AO13" s="1" t="s">
        <v>33</v>
      </c>
      <c r="AP13" s="1" t="s">
        <v>33</v>
      </c>
      <c r="AQ13" s="1" t="s">
        <v>33</v>
      </c>
      <c r="AR13" t="s">
        <v>33</v>
      </c>
    </row>
    <row r="14" spans="1:44" x14ac:dyDescent="0.25">
      <c r="A14">
        <f t="shared" si="1"/>
        <v>13</v>
      </c>
      <c r="B14" t="s">
        <v>59</v>
      </c>
      <c r="D14" s="1" t="s">
        <v>109</v>
      </c>
      <c r="E14">
        <f t="shared" si="2"/>
        <v>13</v>
      </c>
      <c r="F14">
        <v>2000</v>
      </c>
      <c r="G14">
        <v>1</v>
      </c>
      <c r="H14">
        <v>1</v>
      </c>
      <c r="I14">
        <v>6</v>
      </c>
      <c r="J14">
        <v>1</v>
      </c>
      <c r="K14">
        <v>2</v>
      </c>
      <c r="L14" t="s">
        <v>33</v>
      </c>
      <c r="M14" t="s">
        <v>33</v>
      </c>
      <c r="N14">
        <v>0</v>
      </c>
      <c r="O14" t="s">
        <v>33</v>
      </c>
      <c r="P14">
        <v>0</v>
      </c>
      <c r="Q14" t="s">
        <v>33</v>
      </c>
      <c r="R14">
        <v>1</v>
      </c>
      <c r="S14">
        <v>1</v>
      </c>
      <c r="T14">
        <v>1</v>
      </c>
      <c r="U14">
        <v>1</v>
      </c>
      <c r="V14" t="s">
        <v>33</v>
      </c>
      <c r="W14">
        <f t="shared" si="0"/>
        <v>4</v>
      </c>
      <c r="X14" t="s">
        <v>33</v>
      </c>
      <c r="Y14" t="s">
        <v>33</v>
      </c>
      <c r="Z14" t="s">
        <v>33</v>
      </c>
      <c r="AA14" t="s">
        <v>33</v>
      </c>
      <c r="AB14" t="s">
        <v>33</v>
      </c>
      <c r="AC14" t="s">
        <v>33</v>
      </c>
      <c r="AD14" t="s">
        <v>33</v>
      </c>
      <c r="AE14">
        <v>10</v>
      </c>
      <c r="AF14">
        <v>30</v>
      </c>
      <c r="AG14" t="s">
        <v>33</v>
      </c>
      <c r="AH14" t="s">
        <v>33</v>
      </c>
      <c r="AI14" t="s">
        <v>33</v>
      </c>
      <c r="AJ14" t="s">
        <v>33</v>
      </c>
      <c r="AK14" t="s">
        <v>33</v>
      </c>
      <c r="AL14" t="s">
        <v>33</v>
      </c>
      <c r="AM14" t="s">
        <v>33</v>
      </c>
      <c r="AN14" t="s">
        <v>33</v>
      </c>
      <c r="AO14" t="s">
        <v>33</v>
      </c>
      <c r="AP14" t="s">
        <v>33</v>
      </c>
      <c r="AQ14" t="s">
        <v>33</v>
      </c>
      <c r="AR14" t="s">
        <v>33</v>
      </c>
    </row>
    <row r="15" spans="1:44" x14ac:dyDescent="0.25">
      <c r="A15">
        <f t="shared" si="1"/>
        <v>14</v>
      </c>
      <c r="B15" t="s">
        <v>60</v>
      </c>
      <c r="D15" s="1" t="s">
        <v>110</v>
      </c>
      <c r="E15">
        <f t="shared" si="2"/>
        <v>14</v>
      </c>
      <c r="F15">
        <v>2000</v>
      </c>
      <c r="G15">
        <v>1</v>
      </c>
      <c r="H15">
        <v>1</v>
      </c>
      <c r="I15">
        <v>9</v>
      </c>
      <c r="J15">
        <v>1</v>
      </c>
      <c r="K15">
        <v>2</v>
      </c>
      <c r="L15" t="s">
        <v>33</v>
      </c>
      <c r="M15" t="s">
        <v>33</v>
      </c>
      <c r="N15">
        <v>0</v>
      </c>
      <c r="O15" t="s">
        <v>33</v>
      </c>
      <c r="P15">
        <v>0</v>
      </c>
      <c r="Q15" t="s">
        <v>33</v>
      </c>
      <c r="R15">
        <v>1</v>
      </c>
      <c r="S15">
        <v>1</v>
      </c>
      <c r="T15">
        <v>1</v>
      </c>
      <c r="U15">
        <v>1</v>
      </c>
      <c r="V15" t="s">
        <v>33</v>
      </c>
      <c r="W15">
        <f t="shared" si="0"/>
        <v>4</v>
      </c>
      <c r="X15" t="s">
        <v>33</v>
      </c>
      <c r="Y15" t="s">
        <v>33</v>
      </c>
      <c r="Z15" t="s">
        <v>33</v>
      </c>
      <c r="AA15" t="s">
        <v>33</v>
      </c>
      <c r="AB15" t="s">
        <v>33</v>
      </c>
      <c r="AC15" t="s">
        <v>33</v>
      </c>
      <c r="AD15" t="s">
        <v>33</v>
      </c>
      <c r="AE15">
        <v>10</v>
      </c>
      <c r="AF15">
        <v>30</v>
      </c>
      <c r="AG15" t="s">
        <v>33</v>
      </c>
      <c r="AH15" t="s">
        <v>33</v>
      </c>
      <c r="AI15" t="s">
        <v>33</v>
      </c>
      <c r="AJ15" t="s">
        <v>33</v>
      </c>
      <c r="AK15" t="s">
        <v>33</v>
      </c>
      <c r="AL15" t="s">
        <v>33</v>
      </c>
      <c r="AM15" t="s">
        <v>33</v>
      </c>
      <c r="AN15" t="s">
        <v>33</v>
      </c>
      <c r="AO15" t="s">
        <v>33</v>
      </c>
      <c r="AP15" t="s">
        <v>33</v>
      </c>
      <c r="AQ15" t="s">
        <v>33</v>
      </c>
      <c r="AR15" t="s">
        <v>33</v>
      </c>
    </row>
    <row r="16" spans="1:44" x14ac:dyDescent="0.25">
      <c r="A16">
        <f t="shared" si="1"/>
        <v>15</v>
      </c>
      <c r="B16" t="s">
        <v>61</v>
      </c>
      <c r="D16" s="1" t="s">
        <v>111</v>
      </c>
      <c r="E16">
        <f t="shared" si="2"/>
        <v>15</v>
      </c>
      <c r="F16">
        <v>2000</v>
      </c>
      <c r="G16">
        <v>1</v>
      </c>
      <c r="H16">
        <v>1</v>
      </c>
      <c r="I16">
        <v>7</v>
      </c>
      <c r="J16">
        <v>1</v>
      </c>
      <c r="K16">
        <v>2</v>
      </c>
      <c r="L16" t="s">
        <v>33</v>
      </c>
      <c r="M16" t="s">
        <v>33</v>
      </c>
      <c r="N16">
        <v>0</v>
      </c>
      <c r="O16" t="s">
        <v>33</v>
      </c>
      <c r="P16">
        <v>0</v>
      </c>
      <c r="Q16" t="s">
        <v>33</v>
      </c>
      <c r="R16">
        <v>1</v>
      </c>
      <c r="S16">
        <v>1</v>
      </c>
      <c r="T16">
        <v>1</v>
      </c>
      <c r="U16">
        <v>1</v>
      </c>
      <c r="V16" t="s">
        <v>33</v>
      </c>
      <c r="W16">
        <f t="shared" si="0"/>
        <v>4</v>
      </c>
      <c r="X16" t="s">
        <v>33</v>
      </c>
      <c r="Y16" t="s">
        <v>33</v>
      </c>
      <c r="Z16" t="s">
        <v>33</v>
      </c>
      <c r="AA16" t="s">
        <v>33</v>
      </c>
      <c r="AB16" t="s">
        <v>33</v>
      </c>
      <c r="AC16" t="s">
        <v>33</v>
      </c>
      <c r="AD16" t="s">
        <v>33</v>
      </c>
      <c r="AE16" t="s">
        <v>33</v>
      </c>
      <c r="AF16" t="s">
        <v>33</v>
      </c>
      <c r="AG16">
        <v>10</v>
      </c>
      <c r="AH16">
        <v>30</v>
      </c>
      <c r="AI16" t="s">
        <v>33</v>
      </c>
      <c r="AJ16" t="s">
        <v>33</v>
      </c>
      <c r="AK16" t="s">
        <v>33</v>
      </c>
      <c r="AL16" t="s">
        <v>33</v>
      </c>
      <c r="AM16" t="s">
        <v>33</v>
      </c>
      <c r="AN16" t="s">
        <v>33</v>
      </c>
      <c r="AO16" t="s">
        <v>33</v>
      </c>
      <c r="AP16" t="s">
        <v>33</v>
      </c>
      <c r="AQ16" t="s">
        <v>33</v>
      </c>
      <c r="AR16" t="s">
        <v>33</v>
      </c>
    </row>
    <row r="17" spans="1:44" x14ac:dyDescent="0.25">
      <c r="A17">
        <f t="shared" si="1"/>
        <v>16</v>
      </c>
      <c r="B17" t="s">
        <v>62</v>
      </c>
      <c r="D17" s="1" t="s">
        <v>111</v>
      </c>
      <c r="E17">
        <f t="shared" si="2"/>
        <v>16</v>
      </c>
      <c r="F17">
        <v>2000</v>
      </c>
      <c r="G17">
        <v>1</v>
      </c>
      <c r="H17">
        <v>1</v>
      </c>
      <c r="I17">
        <v>4</v>
      </c>
      <c r="J17">
        <v>1</v>
      </c>
      <c r="K17">
        <v>2</v>
      </c>
      <c r="L17" t="s">
        <v>33</v>
      </c>
      <c r="M17" t="s">
        <v>33</v>
      </c>
      <c r="N17">
        <v>0</v>
      </c>
      <c r="O17" t="s">
        <v>33</v>
      </c>
      <c r="P17">
        <v>0</v>
      </c>
      <c r="Q17" t="s">
        <v>33</v>
      </c>
      <c r="R17">
        <v>1</v>
      </c>
      <c r="S17">
        <v>1</v>
      </c>
      <c r="T17">
        <v>1</v>
      </c>
      <c r="U17">
        <v>1</v>
      </c>
      <c r="V17" t="s">
        <v>33</v>
      </c>
      <c r="W17">
        <f t="shared" si="0"/>
        <v>4</v>
      </c>
      <c r="X17" t="s">
        <v>33</v>
      </c>
      <c r="Y17" t="s">
        <v>33</v>
      </c>
      <c r="Z17" t="s">
        <v>33</v>
      </c>
      <c r="AA17" t="s">
        <v>33</v>
      </c>
      <c r="AB17" t="s">
        <v>33</v>
      </c>
      <c r="AC17" t="s">
        <v>33</v>
      </c>
      <c r="AD17" t="s">
        <v>33</v>
      </c>
      <c r="AE17" t="s">
        <v>33</v>
      </c>
      <c r="AF17" t="s">
        <v>33</v>
      </c>
      <c r="AG17">
        <v>10</v>
      </c>
      <c r="AH17">
        <v>30</v>
      </c>
      <c r="AI17" t="s">
        <v>33</v>
      </c>
      <c r="AJ17" t="s">
        <v>33</v>
      </c>
      <c r="AK17" t="s">
        <v>33</v>
      </c>
      <c r="AL17" t="s">
        <v>33</v>
      </c>
      <c r="AM17" t="s">
        <v>33</v>
      </c>
      <c r="AN17" t="s">
        <v>33</v>
      </c>
      <c r="AO17" t="s">
        <v>33</v>
      </c>
      <c r="AP17" t="s">
        <v>33</v>
      </c>
      <c r="AQ17" t="s">
        <v>33</v>
      </c>
      <c r="AR17" t="s">
        <v>33</v>
      </c>
    </row>
    <row r="18" spans="1:44" x14ac:dyDescent="0.25">
      <c r="A18">
        <f t="shared" si="1"/>
        <v>17</v>
      </c>
      <c r="B18" t="s">
        <v>92</v>
      </c>
      <c r="D18" s="1" t="s">
        <v>136</v>
      </c>
      <c r="E18">
        <f t="shared" si="2"/>
        <v>17</v>
      </c>
      <c r="F18">
        <v>2000</v>
      </c>
      <c r="G18">
        <v>1</v>
      </c>
      <c r="H18">
        <v>1</v>
      </c>
      <c r="I18">
        <v>8</v>
      </c>
      <c r="J18">
        <v>1</v>
      </c>
      <c r="K18">
        <v>2</v>
      </c>
      <c r="L18" t="s">
        <v>33</v>
      </c>
      <c r="M18" t="s">
        <v>33</v>
      </c>
      <c r="N18">
        <v>0</v>
      </c>
      <c r="O18" t="s">
        <v>33</v>
      </c>
      <c r="P18">
        <v>0</v>
      </c>
      <c r="Q18" t="s">
        <v>33</v>
      </c>
      <c r="R18">
        <v>0</v>
      </c>
      <c r="S18">
        <v>0</v>
      </c>
      <c r="T18">
        <v>0</v>
      </c>
      <c r="U18">
        <v>0</v>
      </c>
      <c r="V18" t="s">
        <v>33</v>
      </c>
      <c r="W18">
        <f t="shared" si="0"/>
        <v>0</v>
      </c>
      <c r="X18" t="s">
        <v>33</v>
      </c>
      <c r="Y18" t="s">
        <v>33</v>
      </c>
      <c r="Z18" t="s">
        <v>33</v>
      </c>
      <c r="AA18" t="s">
        <v>33</v>
      </c>
      <c r="AB18" t="s">
        <v>33</v>
      </c>
      <c r="AC18" t="s">
        <v>33</v>
      </c>
      <c r="AD18" t="s">
        <v>33</v>
      </c>
      <c r="AE18" t="s">
        <v>33</v>
      </c>
      <c r="AF18" t="s">
        <v>33</v>
      </c>
      <c r="AG18" t="s">
        <v>33</v>
      </c>
      <c r="AH18" t="s">
        <v>33</v>
      </c>
      <c r="AI18" t="s">
        <v>33</v>
      </c>
      <c r="AJ18" t="s">
        <v>33</v>
      </c>
      <c r="AK18" t="s">
        <v>33</v>
      </c>
      <c r="AL18" t="s">
        <v>33</v>
      </c>
      <c r="AM18">
        <v>1</v>
      </c>
      <c r="AN18" t="s">
        <v>33</v>
      </c>
      <c r="AO18" t="s">
        <v>33</v>
      </c>
      <c r="AP18" t="s">
        <v>33</v>
      </c>
      <c r="AQ18" t="s">
        <v>33</v>
      </c>
      <c r="AR18" t="s">
        <v>33</v>
      </c>
    </row>
    <row r="19" spans="1:44" x14ac:dyDescent="0.25">
      <c r="A19">
        <f t="shared" si="1"/>
        <v>18</v>
      </c>
      <c r="B19" t="s">
        <v>93</v>
      </c>
      <c r="D19" s="1" t="s">
        <v>108</v>
      </c>
      <c r="E19">
        <f t="shared" si="2"/>
        <v>18</v>
      </c>
      <c r="F19">
        <v>2000</v>
      </c>
      <c r="G19">
        <v>1</v>
      </c>
      <c r="H19">
        <v>1</v>
      </c>
      <c r="I19">
        <v>8</v>
      </c>
      <c r="J19">
        <v>1</v>
      </c>
      <c r="K19">
        <v>2</v>
      </c>
      <c r="L19" t="s">
        <v>33</v>
      </c>
      <c r="M19" t="s">
        <v>33</v>
      </c>
      <c r="N19">
        <v>0</v>
      </c>
      <c r="O19" t="s">
        <v>33</v>
      </c>
      <c r="P19">
        <v>0</v>
      </c>
      <c r="Q19" t="s">
        <v>33</v>
      </c>
      <c r="R19">
        <v>1</v>
      </c>
      <c r="S19">
        <v>1</v>
      </c>
      <c r="T19">
        <v>1</v>
      </c>
      <c r="U19">
        <v>1</v>
      </c>
      <c r="V19" t="s">
        <v>33</v>
      </c>
      <c r="W19">
        <f t="shared" si="0"/>
        <v>4</v>
      </c>
      <c r="X19" t="s">
        <v>33</v>
      </c>
      <c r="Y19" t="s">
        <v>33</v>
      </c>
      <c r="Z19" t="s">
        <v>33</v>
      </c>
      <c r="AA19" t="s">
        <v>33</v>
      </c>
      <c r="AB19" t="s">
        <v>33</v>
      </c>
      <c r="AC19" t="s">
        <v>33</v>
      </c>
      <c r="AD19" t="s">
        <v>33</v>
      </c>
      <c r="AE19" t="s">
        <v>33</v>
      </c>
      <c r="AF19" t="s">
        <v>33</v>
      </c>
      <c r="AG19" t="s">
        <v>33</v>
      </c>
      <c r="AH19" t="s">
        <v>33</v>
      </c>
      <c r="AI19" t="s">
        <v>33</v>
      </c>
      <c r="AJ19" t="s">
        <v>33</v>
      </c>
      <c r="AK19" t="s">
        <v>33</v>
      </c>
      <c r="AL19" t="s">
        <v>33</v>
      </c>
      <c r="AM19">
        <v>0</v>
      </c>
      <c r="AN19">
        <v>0</v>
      </c>
      <c r="AO19" t="s">
        <v>33</v>
      </c>
      <c r="AP19" t="s">
        <v>33</v>
      </c>
      <c r="AQ19" t="s">
        <v>33</v>
      </c>
      <c r="AR19" t="s">
        <v>33</v>
      </c>
    </row>
    <row r="20" spans="1:44" x14ac:dyDescent="0.25">
      <c r="A20">
        <f t="shared" si="1"/>
        <v>19</v>
      </c>
      <c r="B20" t="s">
        <v>94</v>
      </c>
      <c r="D20" s="1" t="s">
        <v>109</v>
      </c>
      <c r="E20">
        <f t="shared" si="2"/>
        <v>19</v>
      </c>
      <c r="F20">
        <v>2000</v>
      </c>
      <c r="G20">
        <v>1</v>
      </c>
      <c r="H20">
        <v>1</v>
      </c>
      <c r="I20">
        <v>8</v>
      </c>
      <c r="J20">
        <v>1</v>
      </c>
      <c r="K20">
        <v>2</v>
      </c>
      <c r="L20" t="s">
        <v>33</v>
      </c>
      <c r="M20" t="s">
        <v>33</v>
      </c>
      <c r="N20">
        <v>0</v>
      </c>
      <c r="O20" t="s">
        <v>33</v>
      </c>
      <c r="P20">
        <v>0</v>
      </c>
      <c r="Q20" t="s">
        <v>33</v>
      </c>
      <c r="R20">
        <v>1</v>
      </c>
      <c r="S20">
        <v>1</v>
      </c>
      <c r="T20">
        <v>1</v>
      </c>
      <c r="U20">
        <v>1</v>
      </c>
      <c r="V20" t="s">
        <v>33</v>
      </c>
      <c r="W20">
        <f t="shared" si="0"/>
        <v>4</v>
      </c>
      <c r="X20" t="s">
        <v>33</v>
      </c>
      <c r="Y20" t="s">
        <v>33</v>
      </c>
      <c r="Z20" t="s">
        <v>33</v>
      </c>
      <c r="AA20" t="s">
        <v>33</v>
      </c>
      <c r="AB20" t="s">
        <v>33</v>
      </c>
      <c r="AC20" t="s">
        <v>33</v>
      </c>
      <c r="AD20" t="s">
        <v>33</v>
      </c>
      <c r="AE20">
        <v>10</v>
      </c>
      <c r="AF20">
        <v>30</v>
      </c>
      <c r="AG20" t="s">
        <v>33</v>
      </c>
      <c r="AH20" t="s">
        <v>33</v>
      </c>
      <c r="AI20" t="s">
        <v>33</v>
      </c>
      <c r="AJ20" t="s">
        <v>33</v>
      </c>
      <c r="AK20" t="s">
        <v>33</v>
      </c>
      <c r="AL20" t="s">
        <v>33</v>
      </c>
      <c r="AM20">
        <v>0</v>
      </c>
      <c r="AN20">
        <v>1</v>
      </c>
      <c r="AO20" t="s">
        <v>33</v>
      </c>
      <c r="AP20" t="s">
        <v>33</v>
      </c>
      <c r="AQ20" t="s">
        <v>33</v>
      </c>
      <c r="AR20" t="s">
        <v>33</v>
      </c>
    </row>
    <row r="21" spans="1:44" x14ac:dyDescent="0.25">
      <c r="A21">
        <f t="shared" si="1"/>
        <v>20</v>
      </c>
      <c r="B21" t="s">
        <v>95</v>
      </c>
      <c r="D21" t="s">
        <v>112</v>
      </c>
      <c r="E21">
        <f t="shared" si="2"/>
        <v>20</v>
      </c>
      <c r="F21">
        <v>2000</v>
      </c>
      <c r="G21">
        <v>1</v>
      </c>
      <c r="H21">
        <v>1</v>
      </c>
      <c r="I21">
        <v>8</v>
      </c>
      <c r="J21">
        <v>1</v>
      </c>
      <c r="K21">
        <v>2</v>
      </c>
      <c r="L21" t="s">
        <v>33</v>
      </c>
      <c r="M21" t="s">
        <v>33</v>
      </c>
      <c r="N21">
        <v>0</v>
      </c>
      <c r="O21" t="s">
        <v>33</v>
      </c>
      <c r="P21">
        <v>0</v>
      </c>
      <c r="Q21" t="s">
        <v>33</v>
      </c>
      <c r="R21">
        <v>1</v>
      </c>
      <c r="S21">
        <v>1</v>
      </c>
      <c r="T21">
        <v>1</v>
      </c>
      <c r="U21">
        <v>1</v>
      </c>
      <c r="V21" t="s">
        <v>33</v>
      </c>
      <c r="W21">
        <f t="shared" si="0"/>
        <v>4</v>
      </c>
      <c r="X21" t="s">
        <v>33</v>
      </c>
      <c r="Y21" t="s">
        <v>33</v>
      </c>
      <c r="Z21" t="s">
        <v>33</v>
      </c>
      <c r="AA21" t="s">
        <v>33</v>
      </c>
      <c r="AB21" t="s">
        <v>33</v>
      </c>
      <c r="AC21" t="s">
        <v>33</v>
      </c>
      <c r="AD21" t="s">
        <v>33</v>
      </c>
      <c r="AE21" t="s">
        <v>33</v>
      </c>
      <c r="AF21" t="s">
        <v>33</v>
      </c>
      <c r="AG21" t="s">
        <v>33</v>
      </c>
      <c r="AH21" t="s">
        <v>33</v>
      </c>
      <c r="AI21" t="s">
        <v>33</v>
      </c>
      <c r="AJ21" t="s">
        <v>33</v>
      </c>
      <c r="AK21" t="s">
        <v>33</v>
      </c>
      <c r="AL21" t="s">
        <v>33</v>
      </c>
      <c r="AM21">
        <v>0</v>
      </c>
      <c r="AN21">
        <v>2</v>
      </c>
      <c r="AO21">
        <v>1</v>
      </c>
      <c r="AP21">
        <v>3</v>
      </c>
      <c r="AQ21">
        <v>50</v>
      </c>
      <c r="AR21" t="s">
        <v>33</v>
      </c>
    </row>
    <row r="22" spans="1:44" x14ac:dyDescent="0.25">
      <c r="A22">
        <f t="shared" si="1"/>
        <v>21</v>
      </c>
      <c r="B22" t="s">
        <v>82</v>
      </c>
      <c r="C22" t="s">
        <v>81</v>
      </c>
      <c r="D22" s="1" t="s">
        <v>113</v>
      </c>
      <c r="E22">
        <f t="shared" si="2"/>
        <v>21</v>
      </c>
      <c r="F22">
        <v>2000</v>
      </c>
      <c r="G22">
        <v>1</v>
      </c>
      <c r="H22">
        <v>1</v>
      </c>
      <c r="I22">
        <v>0</v>
      </c>
      <c r="J22">
        <v>1</v>
      </c>
      <c r="K22">
        <v>2</v>
      </c>
      <c r="L22" t="s">
        <v>33</v>
      </c>
      <c r="M22" t="s">
        <v>33</v>
      </c>
      <c r="N22">
        <v>0</v>
      </c>
      <c r="O22" t="s">
        <v>33</v>
      </c>
      <c r="P22">
        <v>1</v>
      </c>
      <c r="Q22">
        <v>100</v>
      </c>
      <c r="R22">
        <v>1</v>
      </c>
      <c r="S22">
        <v>1</v>
      </c>
      <c r="T22">
        <v>1</v>
      </c>
      <c r="U22">
        <v>1</v>
      </c>
      <c r="V22" t="s">
        <v>33</v>
      </c>
      <c r="W22">
        <f t="shared" si="0"/>
        <v>4</v>
      </c>
      <c r="X22">
        <v>1</v>
      </c>
      <c r="Y22">
        <v>10</v>
      </c>
      <c r="Z22">
        <v>25</v>
      </c>
      <c r="AA22">
        <v>2</v>
      </c>
      <c r="AB22" t="s">
        <v>33</v>
      </c>
      <c r="AC22" t="s">
        <v>33</v>
      </c>
      <c r="AD22" t="s">
        <v>33</v>
      </c>
      <c r="AE22" t="s">
        <v>33</v>
      </c>
      <c r="AF22" t="s">
        <v>33</v>
      </c>
      <c r="AG22" t="s">
        <v>33</v>
      </c>
      <c r="AH22" t="s">
        <v>33</v>
      </c>
      <c r="AI22" t="s">
        <v>33</v>
      </c>
      <c r="AJ22" t="s">
        <v>33</v>
      </c>
      <c r="AK22">
        <v>10</v>
      </c>
      <c r="AL22">
        <v>30</v>
      </c>
      <c r="AM22" t="s">
        <v>33</v>
      </c>
      <c r="AN22" t="s">
        <v>33</v>
      </c>
      <c r="AO22" t="s">
        <v>33</v>
      </c>
      <c r="AP22" t="s">
        <v>33</v>
      </c>
      <c r="AQ22" t="s">
        <v>33</v>
      </c>
      <c r="AR22" t="s">
        <v>33</v>
      </c>
    </row>
    <row r="23" spans="1:44" x14ac:dyDescent="0.25">
      <c r="A23">
        <f t="shared" si="1"/>
        <v>22</v>
      </c>
      <c r="B23" t="s">
        <v>83</v>
      </c>
      <c r="C23" t="s">
        <v>81</v>
      </c>
      <c r="D23" s="1" t="s">
        <v>114</v>
      </c>
      <c r="E23">
        <f t="shared" si="2"/>
        <v>22</v>
      </c>
      <c r="F23">
        <v>2000</v>
      </c>
      <c r="G23">
        <v>1</v>
      </c>
      <c r="H23">
        <v>1</v>
      </c>
      <c r="I23">
        <v>1</v>
      </c>
      <c r="J23">
        <v>1</v>
      </c>
      <c r="K23">
        <v>2</v>
      </c>
      <c r="L23" t="s">
        <v>33</v>
      </c>
      <c r="M23" t="s">
        <v>33</v>
      </c>
      <c r="N23">
        <v>0</v>
      </c>
      <c r="O23" t="s">
        <v>33</v>
      </c>
      <c r="P23">
        <v>1</v>
      </c>
      <c r="Q23">
        <v>100</v>
      </c>
      <c r="R23">
        <v>1</v>
      </c>
      <c r="S23">
        <v>1</v>
      </c>
      <c r="T23">
        <v>1</v>
      </c>
      <c r="U23">
        <v>1</v>
      </c>
      <c r="V23" t="s">
        <v>33</v>
      </c>
      <c r="W23">
        <f t="shared" si="0"/>
        <v>4</v>
      </c>
      <c r="X23">
        <v>1</v>
      </c>
      <c r="Y23">
        <v>20</v>
      </c>
      <c r="Z23">
        <v>25</v>
      </c>
      <c r="AA23">
        <v>2</v>
      </c>
      <c r="AB23" t="s">
        <v>33</v>
      </c>
      <c r="AC23" t="s">
        <v>33</v>
      </c>
      <c r="AD23" t="s">
        <v>33</v>
      </c>
      <c r="AE23" t="s">
        <v>33</v>
      </c>
      <c r="AF23" t="s">
        <v>33</v>
      </c>
      <c r="AG23" t="s">
        <v>33</v>
      </c>
      <c r="AH23" t="s">
        <v>33</v>
      </c>
      <c r="AI23">
        <v>10</v>
      </c>
      <c r="AJ23">
        <v>30</v>
      </c>
      <c r="AK23" t="s">
        <v>33</v>
      </c>
      <c r="AL23" t="s">
        <v>33</v>
      </c>
      <c r="AM23" t="s">
        <v>33</v>
      </c>
      <c r="AN23" t="s">
        <v>33</v>
      </c>
      <c r="AO23" t="s">
        <v>33</v>
      </c>
      <c r="AP23" t="s">
        <v>33</v>
      </c>
      <c r="AQ23" t="s">
        <v>33</v>
      </c>
      <c r="AR23" t="s">
        <v>33</v>
      </c>
    </row>
    <row r="24" spans="1:44" x14ac:dyDescent="0.25">
      <c r="A24">
        <f t="shared" si="1"/>
        <v>23</v>
      </c>
      <c r="B24" t="s">
        <v>84</v>
      </c>
      <c r="C24" t="s">
        <v>81</v>
      </c>
      <c r="D24" t="s">
        <v>115</v>
      </c>
      <c r="E24">
        <f t="shared" si="2"/>
        <v>23</v>
      </c>
      <c r="F24">
        <v>2000</v>
      </c>
      <c r="G24">
        <v>1</v>
      </c>
      <c r="H24">
        <v>1</v>
      </c>
      <c r="I24">
        <v>2</v>
      </c>
      <c r="J24">
        <v>1</v>
      </c>
      <c r="K24">
        <v>2</v>
      </c>
      <c r="L24" t="s">
        <v>33</v>
      </c>
      <c r="M24" t="s">
        <v>33</v>
      </c>
      <c r="N24">
        <v>0</v>
      </c>
      <c r="O24" t="s">
        <v>33</v>
      </c>
      <c r="P24">
        <v>1</v>
      </c>
      <c r="Q24">
        <v>100</v>
      </c>
      <c r="R24">
        <v>1</v>
      </c>
      <c r="S24">
        <v>1</v>
      </c>
      <c r="T24">
        <v>1</v>
      </c>
      <c r="U24">
        <v>1</v>
      </c>
      <c r="V24" t="s">
        <v>33</v>
      </c>
      <c r="W24">
        <f t="shared" si="0"/>
        <v>4</v>
      </c>
      <c r="X24">
        <v>2</v>
      </c>
      <c r="Y24">
        <v>15</v>
      </c>
      <c r="Z24">
        <v>25</v>
      </c>
      <c r="AA24">
        <v>4</v>
      </c>
      <c r="AB24">
        <v>2</v>
      </c>
      <c r="AC24">
        <v>25</v>
      </c>
      <c r="AD24">
        <v>25</v>
      </c>
      <c r="AE24" t="s">
        <v>33</v>
      </c>
      <c r="AF24" t="s">
        <v>33</v>
      </c>
      <c r="AG24">
        <v>10</v>
      </c>
      <c r="AH24">
        <v>30</v>
      </c>
      <c r="AI24" t="s">
        <v>33</v>
      </c>
      <c r="AJ24" t="s">
        <v>33</v>
      </c>
      <c r="AK24" t="s">
        <v>33</v>
      </c>
      <c r="AL24" t="s">
        <v>33</v>
      </c>
      <c r="AM24" t="s">
        <v>33</v>
      </c>
      <c r="AN24" t="s">
        <v>33</v>
      </c>
      <c r="AO24" t="s">
        <v>33</v>
      </c>
      <c r="AP24" t="s">
        <v>33</v>
      </c>
      <c r="AQ24" t="s">
        <v>33</v>
      </c>
      <c r="AR24" t="s">
        <v>33</v>
      </c>
    </row>
    <row r="25" spans="1:44" x14ac:dyDescent="0.25">
      <c r="A25">
        <f t="shared" si="1"/>
        <v>24</v>
      </c>
      <c r="B25" t="s">
        <v>85</v>
      </c>
      <c r="C25" t="s">
        <v>81</v>
      </c>
      <c r="D25" t="s">
        <v>107</v>
      </c>
      <c r="E25">
        <f t="shared" si="2"/>
        <v>24</v>
      </c>
      <c r="F25">
        <v>2000</v>
      </c>
      <c r="G25">
        <v>1</v>
      </c>
      <c r="H25">
        <v>1</v>
      </c>
      <c r="I25">
        <v>4</v>
      </c>
      <c r="J25">
        <v>1</v>
      </c>
      <c r="K25">
        <v>2</v>
      </c>
      <c r="L25" t="s">
        <v>33</v>
      </c>
      <c r="M25" t="s">
        <v>33</v>
      </c>
      <c r="N25">
        <v>0</v>
      </c>
      <c r="O25" t="s">
        <v>33</v>
      </c>
      <c r="P25">
        <v>1</v>
      </c>
      <c r="Q25">
        <v>100</v>
      </c>
      <c r="R25">
        <v>1</v>
      </c>
      <c r="S25">
        <v>1</v>
      </c>
      <c r="T25">
        <v>1</v>
      </c>
      <c r="U25">
        <v>1</v>
      </c>
      <c r="V25" t="s">
        <v>33</v>
      </c>
      <c r="W25">
        <f t="shared" si="0"/>
        <v>4</v>
      </c>
      <c r="X25" t="s">
        <v>33</v>
      </c>
      <c r="Y25" t="s">
        <v>33</v>
      </c>
      <c r="Z25" t="s">
        <v>33</v>
      </c>
      <c r="AA25" t="s">
        <v>33</v>
      </c>
      <c r="AB25" t="s">
        <v>33</v>
      </c>
      <c r="AC25" t="s">
        <v>33</v>
      </c>
      <c r="AD25" t="s">
        <v>33</v>
      </c>
      <c r="AE25">
        <v>10</v>
      </c>
      <c r="AF25">
        <v>30</v>
      </c>
      <c r="AG25" t="s">
        <v>33</v>
      </c>
      <c r="AH25" t="s">
        <v>33</v>
      </c>
      <c r="AI25" t="s">
        <v>33</v>
      </c>
      <c r="AJ25" t="s">
        <v>33</v>
      </c>
      <c r="AK25" t="s">
        <v>33</v>
      </c>
      <c r="AL25" t="s">
        <v>33</v>
      </c>
      <c r="AM25" t="s">
        <v>33</v>
      </c>
      <c r="AN25" t="s">
        <v>33</v>
      </c>
      <c r="AO25" t="s">
        <v>33</v>
      </c>
      <c r="AP25" t="s">
        <v>33</v>
      </c>
      <c r="AQ25" t="s">
        <v>33</v>
      </c>
      <c r="AR25" t="s">
        <v>33</v>
      </c>
    </row>
    <row r="26" spans="1:44" x14ac:dyDescent="0.25">
      <c r="A26" s="1">
        <f t="shared" si="1"/>
        <v>25</v>
      </c>
      <c r="B26" t="s">
        <v>86</v>
      </c>
      <c r="C26" t="s">
        <v>100</v>
      </c>
      <c r="D26" t="s">
        <v>108</v>
      </c>
      <c r="E26">
        <f t="shared" si="2"/>
        <v>25</v>
      </c>
      <c r="F26">
        <v>2000</v>
      </c>
      <c r="G26">
        <v>1</v>
      </c>
      <c r="H26">
        <v>1</v>
      </c>
      <c r="I26">
        <v>5</v>
      </c>
      <c r="J26">
        <v>1</v>
      </c>
      <c r="K26">
        <v>2</v>
      </c>
      <c r="L26" t="s">
        <v>33</v>
      </c>
      <c r="M26" t="s">
        <v>33</v>
      </c>
      <c r="N26">
        <v>0</v>
      </c>
      <c r="O26" t="s">
        <v>33</v>
      </c>
      <c r="P26">
        <v>1</v>
      </c>
      <c r="Q26">
        <v>100</v>
      </c>
      <c r="R26">
        <v>1</v>
      </c>
      <c r="S26">
        <v>1</v>
      </c>
      <c r="T26">
        <v>1</v>
      </c>
      <c r="U26">
        <v>1</v>
      </c>
      <c r="V26" t="s">
        <v>33</v>
      </c>
      <c r="W26">
        <f t="shared" si="0"/>
        <v>4</v>
      </c>
      <c r="X26" t="s">
        <v>33</v>
      </c>
      <c r="Y26" t="s">
        <v>33</v>
      </c>
      <c r="Z26" t="s">
        <v>33</v>
      </c>
      <c r="AA26" t="s">
        <v>33</v>
      </c>
      <c r="AB26" t="s">
        <v>33</v>
      </c>
      <c r="AC26" t="s">
        <v>33</v>
      </c>
      <c r="AD26" t="s">
        <v>33</v>
      </c>
      <c r="AE26" t="s">
        <v>33</v>
      </c>
      <c r="AF26" t="s">
        <v>33</v>
      </c>
      <c r="AG26" t="s">
        <v>33</v>
      </c>
      <c r="AH26" t="s">
        <v>33</v>
      </c>
      <c r="AI26" t="s">
        <v>33</v>
      </c>
      <c r="AJ26" t="s">
        <v>33</v>
      </c>
      <c r="AK26" t="s">
        <v>33</v>
      </c>
      <c r="AL26" t="s">
        <v>33</v>
      </c>
      <c r="AM26" t="s">
        <v>33</v>
      </c>
      <c r="AN26" t="s">
        <v>33</v>
      </c>
      <c r="AO26" t="s">
        <v>33</v>
      </c>
      <c r="AP26" t="s">
        <v>33</v>
      </c>
      <c r="AQ26" t="s">
        <v>33</v>
      </c>
      <c r="AR26" t="s">
        <v>33</v>
      </c>
    </row>
    <row r="27" spans="1:44" x14ac:dyDescent="0.25">
      <c r="A27">
        <f t="shared" si="1"/>
        <v>26</v>
      </c>
      <c r="B27" t="s">
        <v>87</v>
      </c>
      <c r="C27" t="s">
        <v>81</v>
      </c>
      <c r="D27" t="s">
        <v>116</v>
      </c>
      <c r="E27">
        <f t="shared" si="2"/>
        <v>26</v>
      </c>
      <c r="F27">
        <v>2000</v>
      </c>
      <c r="G27">
        <v>1</v>
      </c>
      <c r="H27">
        <v>1</v>
      </c>
      <c r="I27">
        <v>6</v>
      </c>
      <c r="J27">
        <v>1</v>
      </c>
      <c r="K27">
        <v>2</v>
      </c>
      <c r="L27" t="s">
        <v>33</v>
      </c>
      <c r="M27" t="s">
        <v>33</v>
      </c>
      <c r="N27">
        <v>0</v>
      </c>
      <c r="O27" t="s">
        <v>33</v>
      </c>
      <c r="P27">
        <v>1</v>
      </c>
      <c r="Q27">
        <v>100</v>
      </c>
      <c r="R27">
        <v>1</v>
      </c>
      <c r="S27">
        <v>1</v>
      </c>
      <c r="T27">
        <v>1</v>
      </c>
      <c r="U27">
        <v>1</v>
      </c>
      <c r="V27" t="s">
        <v>33</v>
      </c>
      <c r="W27">
        <f t="shared" si="0"/>
        <v>4</v>
      </c>
      <c r="X27" t="s">
        <v>33</v>
      </c>
      <c r="Y27" t="s">
        <v>33</v>
      </c>
      <c r="Z27" t="s">
        <v>33</v>
      </c>
      <c r="AA27" t="s">
        <v>33</v>
      </c>
      <c r="AB27" t="s">
        <v>33</v>
      </c>
      <c r="AC27" t="s">
        <v>33</v>
      </c>
      <c r="AD27" t="s">
        <v>33</v>
      </c>
      <c r="AE27" t="s">
        <v>33</v>
      </c>
      <c r="AF27" t="s">
        <v>33</v>
      </c>
      <c r="AG27">
        <v>10</v>
      </c>
      <c r="AH27">
        <v>30</v>
      </c>
      <c r="AI27" t="s">
        <v>33</v>
      </c>
      <c r="AJ27" t="s">
        <v>33</v>
      </c>
      <c r="AK27" t="s">
        <v>33</v>
      </c>
      <c r="AL27" t="s">
        <v>33</v>
      </c>
      <c r="AM27" t="s">
        <v>33</v>
      </c>
      <c r="AN27" t="s">
        <v>33</v>
      </c>
      <c r="AO27" t="s">
        <v>33</v>
      </c>
      <c r="AP27" t="s">
        <v>33</v>
      </c>
      <c r="AQ27" t="s">
        <v>33</v>
      </c>
      <c r="AR27" t="s">
        <v>33</v>
      </c>
    </row>
    <row r="28" spans="1:44" x14ac:dyDescent="0.25">
      <c r="A28">
        <f t="shared" si="1"/>
        <v>27</v>
      </c>
      <c r="B28" t="s">
        <v>88</v>
      </c>
      <c r="C28" t="s">
        <v>81</v>
      </c>
      <c r="D28" t="s">
        <v>116</v>
      </c>
      <c r="E28">
        <f t="shared" si="2"/>
        <v>27</v>
      </c>
      <c r="F28">
        <v>2000</v>
      </c>
      <c r="G28">
        <v>1</v>
      </c>
      <c r="H28">
        <v>1</v>
      </c>
      <c r="I28">
        <v>7</v>
      </c>
      <c r="J28">
        <v>1</v>
      </c>
      <c r="K28">
        <v>2</v>
      </c>
      <c r="L28" t="s">
        <v>33</v>
      </c>
      <c r="M28" t="s">
        <v>33</v>
      </c>
      <c r="N28">
        <v>0</v>
      </c>
      <c r="O28" t="s">
        <v>33</v>
      </c>
      <c r="P28">
        <v>1</v>
      </c>
      <c r="Q28">
        <v>100</v>
      </c>
      <c r="R28">
        <v>1</v>
      </c>
      <c r="S28">
        <v>1</v>
      </c>
      <c r="T28">
        <v>1</v>
      </c>
      <c r="U28">
        <v>1</v>
      </c>
      <c r="V28" t="s">
        <v>33</v>
      </c>
      <c r="W28">
        <f t="shared" si="0"/>
        <v>4</v>
      </c>
      <c r="X28" t="s">
        <v>33</v>
      </c>
      <c r="Y28" t="s">
        <v>33</v>
      </c>
      <c r="Z28" t="s">
        <v>33</v>
      </c>
      <c r="AA28" t="s">
        <v>33</v>
      </c>
      <c r="AB28" t="s">
        <v>33</v>
      </c>
      <c r="AC28" t="s">
        <v>33</v>
      </c>
      <c r="AD28" t="s">
        <v>33</v>
      </c>
      <c r="AE28" t="s">
        <v>33</v>
      </c>
      <c r="AF28" t="s">
        <v>33</v>
      </c>
      <c r="AG28">
        <v>10</v>
      </c>
      <c r="AH28">
        <v>30</v>
      </c>
      <c r="AI28" t="s">
        <v>33</v>
      </c>
      <c r="AJ28" t="s">
        <v>33</v>
      </c>
      <c r="AK28" t="s">
        <v>33</v>
      </c>
      <c r="AL28" t="s">
        <v>33</v>
      </c>
      <c r="AM28" t="s">
        <v>33</v>
      </c>
      <c r="AN28" t="s">
        <v>33</v>
      </c>
      <c r="AO28" t="s">
        <v>33</v>
      </c>
      <c r="AP28" t="s">
        <v>33</v>
      </c>
      <c r="AQ28" t="s">
        <v>33</v>
      </c>
      <c r="AR28" t="s">
        <v>33</v>
      </c>
    </row>
    <row r="29" spans="1:44" x14ac:dyDescent="0.25">
      <c r="A29">
        <f t="shared" si="1"/>
        <v>28</v>
      </c>
      <c r="B29" t="s">
        <v>89</v>
      </c>
      <c r="C29" t="s">
        <v>81</v>
      </c>
      <c r="D29" t="s">
        <v>107</v>
      </c>
      <c r="E29">
        <f t="shared" si="2"/>
        <v>28</v>
      </c>
      <c r="F29">
        <v>2000</v>
      </c>
      <c r="G29">
        <v>1</v>
      </c>
      <c r="H29">
        <v>1</v>
      </c>
      <c r="I29">
        <v>9</v>
      </c>
      <c r="J29">
        <v>1</v>
      </c>
      <c r="K29">
        <v>2</v>
      </c>
      <c r="L29" t="s">
        <v>33</v>
      </c>
      <c r="M29" t="s">
        <v>33</v>
      </c>
      <c r="N29">
        <v>0</v>
      </c>
      <c r="O29" t="s">
        <v>33</v>
      </c>
      <c r="P29">
        <v>1</v>
      </c>
      <c r="Q29">
        <v>100</v>
      </c>
      <c r="R29">
        <v>1</v>
      </c>
      <c r="S29">
        <v>1</v>
      </c>
      <c r="T29">
        <v>1</v>
      </c>
      <c r="U29">
        <v>1</v>
      </c>
      <c r="V29" t="s">
        <v>33</v>
      </c>
      <c r="W29">
        <f t="shared" si="0"/>
        <v>4</v>
      </c>
      <c r="X29" t="s">
        <v>33</v>
      </c>
      <c r="Y29" t="s">
        <v>33</v>
      </c>
      <c r="Z29" t="s">
        <v>33</v>
      </c>
      <c r="AA29" t="s">
        <v>33</v>
      </c>
      <c r="AB29" t="s">
        <v>33</v>
      </c>
      <c r="AC29" t="s">
        <v>33</v>
      </c>
      <c r="AD29" t="s">
        <v>33</v>
      </c>
      <c r="AE29">
        <v>10</v>
      </c>
      <c r="AF29">
        <v>30</v>
      </c>
      <c r="AG29" t="s">
        <v>33</v>
      </c>
      <c r="AH29" t="s">
        <v>33</v>
      </c>
      <c r="AI29" t="s">
        <v>33</v>
      </c>
      <c r="AJ29" t="s">
        <v>33</v>
      </c>
      <c r="AK29" t="s">
        <v>33</v>
      </c>
      <c r="AL29" t="s">
        <v>33</v>
      </c>
      <c r="AM29" t="s">
        <v>33</v>
      </c>
      <c r="AN29" t="s">
        <v>33</v>
      </c>
      <c r="AO29" t="s">
        <v>33</v>
      </c>
      <c r="AP29" t="s">
        <v>33</v>
      </c>
      <c r="AQ29" t="s">
        <v>33</v>
      </c>
      <c r="AR29" t="s">
        <v>33</v>
      </c>
    </row>
    <row r="30" spans="1:44" x14ac:dyDescent="0.25">
      <c r="A30">
        <f t="shared" si="1"/>
        <v>29</v>
      </c>
      <c r="B30" t="s">
        <v>63</v>
      </c>
      <c r="D30" s="1" t="s">
        <v>117</v>
      </c>
      <c r="E30">
        <f t="shared" si="2"/>
        <v>29</v>
      </c>
      <c r="F30">
        <v>2000</v>
      </c>
      <c r="G30">
        <v>1</v>
      </c>
      <c r="H30">
        <v>1</v>
      </c>
      <c r="I30">
        <v>0</v>
      </c>
      <c r="J30">
        <v>1</v>
      </c>
      <c r="K30">
        <v>2</v>
      </c>
      <c r="L30" t="s">
        <v>33</v>
      </c>
      <c r="M30" t="s">
        <v>33</v>
      </c>
      <c r="N30">
        <v>0</v>
      </c>
      <c r="O30" t="s">
        <v>33</v>
      </c>
      <c r="P30">
        <v>0</v>
      </c>
      <c r="Q30" t="s">
        <v>33</v>
      </c>
      <c r="R30">
        <v>1</v>
      </c>
      <c r="S30">
        <v>1</v>
      </c>
      <c r="T30">
        <v>1</v>
      </c>
      <c r="U30">
        <v>1</v>
      </c>
      <c r="V30" t="s">
        <v>33</v>
      </c>
      <c r="W30">
        <f t="shared" si="0"/>
        <v>4</v>
      </c>
      <c r="X30">
        <v>1</v>
      </c>
      <c r="Y30">
        <v>10</v>
      </c>
      <c r="Z30">
        <v>25</v>
      </c>
      <c r="AA30">
        <v>2</v>
      </c>
      <c r="AB30" t="s">
        <v>33</v>
      </c>
      <c r="AC30" t="s">
        <v>33</v>
      </c>
      <c r="AD30" t="s">
        <v>33</v>
      </c>
      <c r="AE30" t="s">
        <v>33</v>
      </c>
      <c r="AF30" t="s">
        <v>33</v>
      </c>
      <c r="AG30" t="s">
        <v>33</v>
      </c>
      <c r="AH30" t="s">
        <v>33</v>
      </c>
      <c r="AI30">
        <v>10</v>
      </c>
      <c r="AJ30">
        <v>30</v>
      </c>
      <c r="AK30">
        <v>10</v>
      </c>
      <c r="AL30">
        <v>30</v>
      </c>
      <c r="AM30" t="s">
        <v>33</v>
      </c>
      <c r="AN30" t="s">
        <v>33</v>
      </c>
      <c r="AO30" t="s">
        <v>33</v>
      </c>
      <c r="AP30" t="s">
        <v>33</v>
      </c>
      <c r="AQ30" t="s">
        <v>33</v>
      </c>
      <c r="AR30" t="s">
        <v>33</v>
      </c>
    </row>
    <row r="31" spans="1:44" x14ac:dyDescent="0.25">
      <c r="A31">
        <f t="shared" si="1"/>
        <v>30</v>
      </c>
      <c r="B31" t="s">
        <v>64</v>
      </c>
      <c r="D31" s="1" t="s">
        <v>118</v>
      </c>
      <c r="E31">
        <f t="shared" si="2"/>
        <v>30</v>
      </c>
      <c r="F31">
        <v>2000</v>
      </c>
      <c r="G31">
        <v>1</v>
      </c>
      <c r="H31">
        <v>1</v>
      </c>
      <c r="I31">
        <v>1</v>
      </c>
      <c r="J31">
        <v>1</v>
      </c>
      <c r="K31">
        <v>2</v>
      </c>
      <c r="L31" t="s">
        <v>33</v>
      </c>
      <c r="M31" t="s">
        <v>33</v>
      </c>
      <c r="N31">
        <v>0</v>
      </c>
      <c r="O31" t="s">
        <v>33</v>
      </c>
      <c r="P31">
        <v>0</v>
      </c>
      <c r="Q31" t="s">
        <v>33</v>
      </c>
      <c r="R31">
        <v>1</v>
      </c>
      <c r="S31">
        <v>1</v>
      </c>
      <c r="T31">
        <v>1</v>
      </c>
      <c r="U31">
        <v>1</v>
      </c>
      <c r="V31" t="s">
        <v>33</v>
      </c>
      <c r="W31">
        <f t="shared" si="0"/>
        <v>4</v>
      </c>
      <c r="X31">
        <v>1</v>
      </c>
      <c r="Y31">
        <v>20</v>
      </c>
      <c r="Z31">
        <v>25</v>
      </c>
      <c r="AA31">
        <v>2</v>
      </c>
      <c r="AB31" t="s">
        <v>33</v>
      </c>
      <c r="AC31" t="s">
        <v>33</v>
      </c>
      <c r="AD31" t="s">
        <v>33</v>
      </c>
      <c r="AE31" t="s">
        <v>33</v>
      </c>
      <c r="AF31" t="s">
        <v>33</v>
      </c>
      <c r="AG31">
        <v>10</v>
      </c>
      <c r="AH31">
        <v>30</v>
      </c>
      <c r="AI31">
        <v>10</v>
      </c>
      <c r="AJ31">
        <v>30</v>
      </c>
      <c r="AK31" t="s">
        <v>33</v>
      </c>
      <c r="AL31" t="s">
        <v>33</v>
      </c>
      <c r="AM31" t="s">
        <v>33</v>
      </c>
      <c r="AN31" t="s">
        <v>33</v>
      </c>
      <c r="AO31" t="s">
        <v>33</v>
      </c>
      <c r="AP31" t="s">
        <v>33</v>
      </c>
      <c r="AQ31" t="s">
        <v>33</v>
      </c>
      <c r="AR31" t="s">
        <v>33</v>
      </c>
    </row>
    <row r="32" spans="1:44" x14ac:dyDescent="0.25">
      <c r="A32">
        <f t="shared" si="1"/>
        <v>31</v>
      </c>
      <c r="B32" t="s">
        <v>65</v>
      </c>
      <c r="D32" s="1" t="s">
        <v>107</v>
      </c>
      <c r="E32">
        <f t="shared" si="2"/>
        <v>31</v>
      </c>
      <c r="F32">
        <v>2000</v>
      </c>
      <c r="G32">
        <v>1</v>
      </c>
      <c r="H32">
        <v>1</v>
      </c>
      <c r="I32">
        <v>2</v>
      </c>
      <c r="J32">
        <v>1</v>
      </c>
      <c r="K32">
        <v>2</v>
      </c>
      <c r="L32" t="s">
        <v>33</v>
      </c>
      <c r="M32" t="s">
        <v>33</v>
      </c>
      <c r="N32">
        <v>0</v>
      </c>
      <c r="O32" t="s">
        <v>33</v>
      </c>
      <c r="P32">
        <v>0</v>
      </c>
      <c r="Q32" t="s">
        <v>33</v>
      </c>
      <c r="R32">
        <v>1</v>
      </c>
      <c r="S32">
        <v>1</v>
      </c>
      <c r="T32">
        <v>1</v>
      </c>
      <c r="U32">
        <v>1</v>
      </c>
      <c r="V32" t="s">
        <v>33</v>
      </c>
      <c r="W32">
        <f t="shared" si="0"/>
        <v>4</v>
      </c>
      <c r="X32">
        <v>2</v>
      </c>
      <c r="Y32">
        <v>15</v>
      </c>
      <c r="Z32">
        <v>25</v>
      </c>
      <c r="AA32">
        <v>4</v>
      </c>
      <c r="AB32">
        <v>2</v>
      </c>
      <c r="AC32">
        <v>25</v>
      </c>
      <c r="AD32">
        <v>25</v>
      </c>
      <c r="AE32">
        <v>10</v>
      </c>
      <c r="AF32">
        <v>30</v>
      </c>
      <c r="AG32">
        <v>10</v>
      </c>
      <c r="AH32">
        <v>30</v>
      </c>
      <c r="AI32" t="s">
        <v>33</v>
      </c>
      <c r="AJ32" t="s">
        <v>33</v>
      </c>
      <c r="AK32" t="s">
        <v>33</v>
      </c>
      <c r="AL32" t="s">
        <v>33</v>
      </c>
      <c r="AM32" t="s">
        <v>33</v>
      </c>
      <c r="AN32" t="s">
        <v>33</v>
      </c>
      <c r="AO32" t="s">
        <v>33</v>
      </c>
      <c r="AP32" t="s">
        <v>33</v>
      </c>
      <c r="AQ32" t="s">
        <v>33</v>
      </c>
      <c r="AR32" t="s">
        <v>33</v>
      </c>
    </row>
    <row r="33" spans="1:44" x14ac:dyDescent="0.25">
      <c r="A33">
        <f t="shared" si="1"/>
        <v>32</v>
      </c>
      <c r="B33" t="s">
        <v>66</v>
      </c>
      <c r="D33" s="1" t="s">
        <v>119</v>
      </c>
      <c r="E33">
        <f t="shared" si="2"/>
        <v>32</v>
      </c>
      <c r="F33">
        <v>2000</v>
      </c>
      <c r="G33">
        <v>1</v>
      </c>
      <c r="H33">
        <v>1</v>
      </c>
      <c r="I33">
        <v>9</v>
      </c>
      <c r="J33">
        <v>1</v>
      </c>
      <c r="K33">
        <v>2</v>
      </c>
      <c r="L33" t="s">
        <v>33</v>
      </c>
      <c r="M33" t="s">
        <v>33</v>
      </c>
      <c r="N33">
        <v>0</v>
      </c>
      <c r="O33" t="s">
        <v>33</v>
      </c>
      <c r="P33">
        <v>0</v>
      </c>
      <c r="Q33" t="s">
        <v>33</v>
      </c>
      <c r="R33">
        <v>1</v>
      </c>
      <c r="S33">
        <v>1</v>
      </c>
      <c r="T33">
        <v>1</v>
      </c>
      <c r="U33">
        <v>1</v>
      </c>
      <c r="V33" t="s">
        <v>33</v>
      </c>
      <c r="W33">
        <f t="shared" si="0"/>
        <v>4</v>
      </c>
      <c r="X33" t="s">
        <v>33</v>
      </c>
      <c r="Y33" t="s">
        <v>33</v>
      </c>
      <c r="Z33" t="s">
        <v>33</v>
      </c>
      <c r="AA33" t="s">
        <v>33</v>
      </c>
      <c r="AB33" t="s">
        <v>33</v>
      </c>
      <c r="AC33" t="s">
        <v>33</v>
      </c>
      <c r="AD33" t="s">
        <v>33</v>
      </c>
      <c r="AE33">
        <v>10</v>
      </c>
      <c r="AF33">
        <v>30</v>
      </c>
      <c r="AG33">
        <v>10</v>
      </c>
      <c r="AH33">
        <v>30</v>
      </c>
      <c r="AI33" t="s">
        <v>33</v>
      </c>
      <c r="AJ33" t="s">
        <v>33</v>
      </c>
      <c r="AK33" t="s">
        <v>33</v>
      </c>
      <c r="AL33" t="s">
        <v>33</v>
      </c>
      <c r="AM33" t="s">
        <v>33</v>
      </c>
      <c r="AN33" t="s">
        <v>33</v>
      </c>
      <c r="AO33" t="s">
        <v>33</v>
      </c>
      <c r="AP33" t="s">
        <v>33</v>
      </c>
      <c r="AQ33" t="s">
        <v>33</v>
      </c>
      <c r="AR33" t="s">
        <v>33</v>
      </c>
    </row>
    <row r="34" spans="1:44" x14ac:dyDescent="0.25">
      <c r="A34">
        <f t="shared" si="1"/>
        <v>33</v>
      </c>
      <c r="B34" t="s">
        <v>67</v>
      </c>
      <c r="D34" s="1" t="s">
        <v>119</v>
      </c>
      <c r="E34">
        <f t="shared" si="2"/>
        <v>33</v>
      </c>
      <c r="F34">
        <v>2000</v>
      </c>
      <c r="G34">
        <v>1</v>
      </c>
      <c r="H34">
        <v>1</v>
      </c>
      <c r="I34">
        <v>7</v>
      </c>
      <c r="J34">
        <v>1</v>
      </c>
      <c r="K34">
        <v>2</v>
      </c>
      <c r="L34" t="s">
        <v>33</v>
      </c>
      <c r="M34" t="s">
        <v>33</v>
      </c>
      <c r="N34">
        <v>0</v>
      </c>
      <c r="O34" t="s">
        <v>33</v>
      </c>
      <c r="P34">
        <v>0</v>
      </c>
      <c r="Q34" t="s">
        <v>33</v>
      </c>
      <c r="R34">
        <v>1</v>
      </c>
      <c r="S34">
        <v>1</v>
      </c>
      <c r="T34">
        <v>1</v>
      </c>
      <c r="U34">
        <v>1</v>
      </c>
      <c r="V34" t="s">
        <v>33</v>
      </c>
      <c r="W34">
        <f t="shared" si="0"/>
        <v>4</v>
      </c>
      <c r="X34" t="s">
        <v>33</v>
      </c>
      <c r="Y34" t="s">
        <v>33</v>
      </c>
      <c r="Z34" t="s">
        <v>33</v>
      </c>
      <c r="AA34" t="s">
        <v>33</v>
      </c>
      <c r="AB34" t="s">
        <v>33</v>
      </c>
      <c r="AC34" t="s">
        <v>33</v>
      </c>
      <c r="AD34" t="s">
        <v>33</v>
      </c>
      <c r="AE34">
        <v>10</v>
      </c>
      <c r="AF34">
        <v>30</v>
      </c>
      <c r="AG34">
        <v>10</v>
      </c>
      <c r="AH34">
        <v>30</v>
      </c>
      <c r="AI34" t="s">
        <v>33</v>
      </c>
      <c r="AJ34" t="s">
        <v>33</v>
      </c>
      <c r="AK34" t="s">
        <v>33</v>
      </c>
      <c r="AL34" t="s">
        <v>33</v>
      </c>
      <c r="AM34" t="s">
        <v>33</v>
      </c>
      <c r="AN34" t="s">
        <v>33</v>
      </c>
      <c r="AO34" t="s">
        <v>33</v>
      </c>
      <c r="AP34" t="s">
        <v>33</v>
      </c>
      <c r="AQ34" t="s">
        <v>33</v>
      </c>
      <c r="AR34" t="s">
        <v>33</v>
      </c>
    </row>
    <row r="35" spans="1:44" x14ac:dyDescent="0.25">
      <c r="A35">
        <f t="shared" si="1"/>
        <v>34</v>
      </c>
      <c r="B35" t="s">
        <v>68</v>
      </c>
      <c r="D35" s="1" t="s">
        <v>119</v>
      </c>
      <c r="E35">
        <f t="shared" si="2"/>
        <v>34</v>
      </c>
      <c r="F35">
        <v>2000</v>
      </c>
      <c r="G35">
        <v>1</v>
      </c>
      <c r="H35">
        <v>1</v>
      </c>
      <c r="I35">
        <v>4</v>
      </c>
      <c r="J35">
        <v>1</v>
      </c>
      <c r="K35">
        <v>2</v>
      </c>
      <c r="L35" t="s">
        <v>33</v>
      </c>
      <c r="M35" t="s">
        <v>33</v>
      </c>
      <c r="N35">
        <v>0</v>
      </c>
      <c r="O35" t="s">
        <v>33</v>
      </c>
      <c r="P35">
        <v>0</v>
      </c>
      <c r="Q35" t="s">
        <v>33</v>
      </c>
      <c r="R35">
        <v>1</v>
      </c>
      <c r="S35">
        <v>1</v>
      </c>
      <c r="T35">
        <v>1</v>
      </c>
      <c r="U35">
        <v>1</v>
      </c>
      <c r="V35" t="s">
        <v>33</v>
      </c>
      <c r="W35">
        <f t="shared" si="0"/>
        <v>4</v>
      </c>
      <c r="X35" t="s">
        <v>33</v>
      </c>
      <c r="Y35" t="s">
        <v>33</v>
      </c>
      <c r="Z35" t="s">
        <v>33</v>
      </c>
      <c r="AA35" t="s">
        <v>33</v>
      </c>
      <c r="AB35" t="s">
        <v>33</v>
      </c>
      <c r="AC35" t="s">
        <v>33</v>
      </c>
      <c r="AD35" t="s">
        <v>33</v>
      </c>
      <c r="AE35">
        <v>10</v>
      </c>
      <c r="AF35">
        <v>30</v>
      </c>
      <c r="AG35">
        <v>10</v>
      </c>
      <c r="AH35">
        <v>30</v>
      </c>
      <c r="AI35" t="s">
        <v>33</v>
      </c>
      <c r="AJ35" t="s">
        <v>33</v>
      </c>
      <c r="AK35" t="s">
        <v>33</v>
      </c>
      <c r="AL35" t="s">
        <v>33</v>
      </c>
      <c r="AM35" t="s">
        <v>33</v>
      </c>
      <c r="AN35" t="s">
        <v>33</v>
      </c>
      <c r="AO35" t="s">
        <v>33</v>
      </c>
      <c r="AP35" t="s">
        <v>33</v>
      </c>
      <c r="AQ35" t="s">
        <v>33</v>
      </c>
      <c r="AR35" t="s">
        <v>33</v>
      </c>
    </row>
    <row r="36" spans="1:44" x14ac:dyDescent="0.25">
      <c r="A36">
        <f t="shared" si="1"/>
        <v>35</v>
      </c>
      <c r="B36" t="s">
        <v>69</v>
      </c>
      <c r="D36" s="1" t="s">
        <v>119</v>
      </c>
      <c r="E36">
        <f t="shared" si="2"/>
        <v>35</v>
      </c>
      <c r="F36">
        <v>2000</v>
      </c>
      <c r="G36">
        <v>1</v>
      </c>
      <c r="H36">
        <v>1</v>
      </c>
      <c r="I36">
        <v>8</v>
      </c>
      <c r="J36">
        <v>1</v>
      </c>
      <c r="K36">
        <v>2</v>
      </c>
      <c r="L36" t="s">
        <v>33</v>
      </c>
      <c r="M36" t="s">
        <v>33</v>
      </c>
      <c r="N36">
        <v>0</v>
      </c>
      <c r="O36" t="s">
        <v>33</v>
      </c>
      <c r="P36">
        <v>0</v>
      </c>
      <c r="Q36" t="s">
        <v>33</v>
      </c>
      <c r="R36">
        <v>1</v>
      </c>
      <c r="S36">
        <v>1</v>
      </c>
      <c r="T36">
        <v>1</v>
      </c>
      <c r="U36">
        <v>1</v>
      </c>
      <c r="V36" t="s">
        <v>33</v>
      </c>
      <c r="W36">
        <f t="shared" si="0"/>
        <v>4</v>
      </c>
      <c r="X36" t="s">
        <v>33</v>
      </c>
      <c r="Y36" t="s">
        <v>33</v>
      </c>
      <c r="Z36" t="s">
        <v>33</v>
      </c>
      <c r="AA36" t="s">
        <v>33</v>
      </c>
      <c r="AB36" t="s">
        <v>33</v>
      </c>
      <c r="AC36" t="s">
        <v>33</v>
      </c>
      <c r="AD36" t="s">
        <v>33</v>
      </c>
      <c r="AE36">
        <v>10</v>
      </c>
      <c r="AF36">
        <v>30</v>
      </c>
      <c r="AG36">
        <v>10</v>
      </c>
      <c r="AH36">
        <v>30</v>
      </c>
      <c r="AI36" t="s">
        <v>33</v>
      </c>
      <c r="AJ36" t="s">
        <v>33</v>
      </c>
      <c r="AK36" t="s">
        <v>33</v>
      </c>
      <c r="AL36" t="s">
        <v>33</v>
      </c>
      <c r="AM36">
        <v>0</v>
      </c>
      <c r="AN36">
        <v>1</v>
      </c>
      <c r="AO36" t="s">
        <v>33</v>
      </c>
      <c r="AP36" t="s">
        <v>33</v>
      </c>
      <c r="AQ36" t="s">
        <v>33</v>
      </c>
      <c r="AR36" t="s">
        <v>33</v>
      </c>
    </row>
    <row r="37" spans="1:44" x14ac:dyDescent="0.25">
      <c r="A37">
        <f t="shared" si="1"/>
        <v>36</v>
      </c>
      <c r="B37" t="s">
        <v>37</v>
      </c>
      <c r="D37" t="s">
        <v>120</v>
      </c>
      <c r="E37">
        <f t="shared" si="2"/>
        <v>36</v>
      </c>
      <c r="F37">
        <v>2000</v>
      </c>
      <c r="G37">
        <v>1</v>
      </c>
      <c r="H37">
        <v>1</v>
      </c>
      <c r="I37">
        <v>6</v>
      </c>
      <c r="J37">
        <v>2</v>
      </c>
      <c r="K37">
        <v>2</v>
      </c>
      <c r="L37">
        <v>4</v>
      </c>
      <c r="M37" t="s">
        <v>33</v>
      </c>
      <c r="N37">
        <v>1</v>
      </c>
      <c r="O37">
        <v>1000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33</v>
      </c>
      <c r="V37" t="s">
        <v>33</v>
      </c>
      <c r="W37">
        <f t="shared" si="0"/>
        <v>0</v>
      </c>
      <c r="X37" t="s">
        <v>33</v>
      </c>
      <c r="Z37" t="s">
        <v>33</v>
      </c>
      <c r="AA37" t="s">
        <v>33</v>
      </c>
      <c r="AB37" t="s">
        <v>33</v>
      </c>
      <c r="AC37" t="s">
        <v>33</v>
      </c>
      <c r="AD37" t="s">
        <v>33</v>
      </c>
      <c r="AE37" t="s">
        <v>33</v>
      </c>
      <c r="AF37" t="s">
        <v>33</v>
      </c>
      <c r="AG37" t="s">
        <v>33</v>
      </c>
      <c r="AH37" t="s">
        <v>33</v>
      </c>
      <c r="AI37" t="s">
        <v>33</v>
      </c>
      <c r="AJ37" t="s">
        <v>33</v>
      </c>
      <c r="AK37" t="s">
        <v>33</v>
      </c>
      <c r="AL37" t="s">
        <v>33</v>
      </c>
      <c r="AM37" t="s">
        <v>33</v>
      </c>
      <c r="AN37" t="s">
        <v>33</v>
      </c>
      <c r="AO37" t="s">
        <v>33</v>
      </c>
      <c r="AP37" t="s">
        <v>33</v>
      </c>
      <c r="AQ37" t="s">
        <v>33</v>
      </c>
      <c r="AR37" t="s">
        <v>33</v>
      </c>
    </row>
    <row r="38" spans="1:44" x14ac:dyDescent="0.25">
      <c r="A38">
        <f t="shared" si="1"/>
        <v>37</v>
      </c>
      <c r="B38" t="s">
        <v>36</v>
      </c>
      <c r="D38" s="1" t="s">
        <v>121</v>
      </c>
      <c r="E38">
        <f t="shared" si="2"/>
        <v>37</v>
      </c>
      <c r="F38">
        <v>2000</v>
      </c>
      <c r="G38">
        <v>1</v>
      </c>
      <c r="H38">
        <v>1</v>
      </c>
      <c r="I38">
        <v>0</v>
      </c>
      <c r="J38">
        <v>2</v>
      </c>
      <c r="K38">
        <v>2</v>
      </c>
      <c r="L38">
        <v>4</v>
      </c>
      <c r="M38" t="s">
        <v>33</v>
      </c>
      <c r="N38">
        <v>0</v>
      </c>
      <c r="O38" t="s">
        <v>33</v>
      </c>
      <c r="P38">
        <v>0</v>
      </c>
      <c r="Q38" t="s">
        <v>33</v>
      </c>
      <c r="R38">
        <v>1</v>
      </c>
      <c r="S38">
        <v>1</v>
      </c>
      <c r="T38">
        <v>1</v>
      </c>
      <c r="U38">
        <v>1</v>
      </c>
      <c r="V38" t="s">
        <v>33</v>
      </c>
      <c r="W38">
        <f t="shared" si="0"/>
        <v>4</v>
      </c>
      <c r="X38">
        <v>1</v>
      </c>
      <c r="Y38">
        <v>10</v>
      </c>
      <c r="Z38">
        <v>25</v>
      </c>
      <c r="AA38">
        <v>2</v>
      </c>
      <c r="AB38" t="s">
        <v>33</v>
      </c>
      <c r="AC38" t="s">
        <v>33</v>
      </c>
      <c r="AD38" t="s">
        <v>33</v>
      </c>
      <c r="AE38" t="s">
        <v>33</v>
      </c>
      <c r="AF38" t="s">
        <v>33</v>
      </c>
      <c r="AG38" t="s">
        <v>33</v>
      </c>
      <c r="AH38" t="s">
        <v>33</v>
      </c>
      <c r="AI38" t="s">
        <v>33</v>
      </c>
      <c r="AJ38" t="s">
        <v>33</v>
      </c>
      <c r="AK38" t="s">
        <v>33</v>
      </c>
      <c r="AL38" t="s">
        <v>33</v>
      </c>
      <c r="AM38" t="s">
        <v>33</v>
      </c>
      <c r="AN38" t="s">
        <v>33</v>
      </c>
      <c r="AO38" t="s">
        <v>33</v>
      </c>
      <c r="AP38" t="s">
        <v>33</v>
      </c>
      <c r="AQ38" t="s">
        <v>33</v>
      </c>
      <c r="AR38" t="s">
        <v>33</v>
      </c>
    </row>
    <row r="39" spans="1:44" x14ac:dyDescent="0.25">
      <c r="A39">
        <f t="shared" si="1"/>
        <v>38</v>
      </c>
      <c r="B39" t="s">
        <v>35</v>
      </c>
      <c r="D39" t="s">
        <v>122</v>
      </c>
      <c r="E39">
        <f t="shared" si="2"/>
        <v>38</v>
      </c>
      <c r="F39">
        <v>2000</v>
      </c>
      <c r="G39">
        <v>1</v>
      </c>
      <c r="H39">
        <v>1</v>
      </c>
      <c r="I39">
        <v>6</v>
      </c>
      <c r="J39">
        <v>2</v>
      </c>
      <c r="K39">
        <v>2</v>
      </c>
      <c r="L39">
        <v>4</v>
      </c>
      <c r="M39" t="s">
        <v>33</v>
      </c>
      <c r="N39">
        <v>0</v>
      </c>
      <c r="O39" t="s">
        <v>33</v>
      </c>
      <c r="P39">
        <v>0</v>
      </c>
      <c r="Q39" t="s">
        <v>33</v>
      </c>
      <c r="R39">
        <v>1</v>
      </c>
      <c r="S39">
        <v>1</v>
      </c>
      <c r="T39">
        <v>1</v>
      </c>
      <c r="U39">
        <v>1</v>
      </c>
      <c r="V39" t="s">
        <v>33</v>
      </c>
      <c r="W39">
        <f t="shared" si="0"/>
        <v>4</v>
      </c>
      <c r="X39" t="s">
        <v>33</v>
      </c>
      <c r="Y39" t="s">
        <v>33</v>
      </c>
      <c r="Z39" t="s">
        <v>33</v>
      </c>
      <c r="AA39" t="s">
        <v>33</v>
      </c>
      <c r="AB39" t="s">
        <v>33</v>
      </c>
      <c r="AC39" t="s">
        <v>33</v>
      </c>
      <c r="AD39" t="s">
        <v>33</v>
      </c>
      <c r="AE39" t="s">
        <v>33</v>
      </c>
      <c r="AF39" t="s">
        <v>33</v>
      </c>
      <c r="AG39" t="s">
        <v>33</v>
      </c>
      <c r="AH39" t="s">
        <v>33</v>
      </c>
      <c r="AI39" t="s">
        <v>33</v>
      </c>
      <c r="AJ39" t="s">
        <v>33</v>
      </c>
      <c r="AK39" t="s">
        <v>33</v>
      </c>
      <c r="AL39" t="s">
        <v>33</v>
      </c>
      <c r="AM39" t="s">
        <v>33</v>
      </c>
      <c r="AN39" t="s">
        <v>33</v>
      </c>
      <c r="AO39" t="s">
        <v>33</v>
      </c>
      <c r="AP39" t="s">
        <v>33</v>
      </c>
      <c r="AQ39" t="s">
        <v>33</v>
      </c>
      <c r="AR39" t="s">
        <v>33</v>
      </c>
    </row>
    <row r="40" spans="1:44" x14ac:dyDescent="0.25">
      <c r="A40">
        <f t="shared" si="1"/>
        <v>39</v>
      </c>
      <c r="B40" t="s">
        <v>38</v>
      </c>
      <c r="D40" s="1" t="s">
        <v>123</v>
      </c>
      <c r="E40">
        <f t="shared" si="2"/>
        <v>39</v>
      </c>
      <c r="F40">
        <v>2000</v>
      </c>
      <c r="G40">
        <v>1</v>
      </c>
      <c r="H40">
        <v>1</v>
      </c>
      <c r="I40">
        <v>7</v>
      </c>
      <c r="J40">
        <v>2</v>
      </c>
      <c r="K40">
        <v>2</v>
      </c>
      <c r="L40">
        <v>4</v>
      </c>
      <c r="M40" t="s">
        <v>33</v>
      </c>
      <c r="N40">
        <v>0</v>
      </c>
      <c r="O40" t="s">
        <v>33</v>
      </c>
      <c r="P40">
        <v>0</v>
      </c>
      <c r="Q40" t="s">
        <v>33</v>
      </c>
      <c r="R40">
        <v>1</v>
      </c>
      <c r="S40">
        <v>1</v>
      </c>
      <c r="T40">
        <v>1</v>
      </c>
      <c r="U40">
        <v>1</v>
      </c>
      <c r="V40" t="s">
        <v>33</v>
      </c>
      <c r="W40">
        <f t="shared" si="0"/>
        <v>4</v>
      </c>
      <c r="X40" t="s">
        <v>33</v>
      </c>
      <c r="Y40" t="s">
        <v>33</v>
      </c>
      <c r="Z40" t="s">
        <v>33</v>
      </c>
      <c r="AA40" t="s">
        <v>33</v>
      </c>
      <c r="AB40" t="s">
        <v>33</v>
      </c>
      <c r="AC40" t="s">
        <v>33</v>
      </c>
      <c r="AD40" t="s">
        <v>33</v>
      </c>
      <c r="AE40" t="s">
        <v>33</v>
      </c>
      <c r="AF40" t="s">
        <v>33</v>
      </c>
      <c r="AG40">
        <v>10</v>
      </c>
      <c r="AH40">
        <v>30</v>
      </c>
      <c r="AI40" t="s">
        <v>33</v>
      </c>
      <c r="AJ40" t="s">
        <v>33</v>
      </c>
      <c r="AK40" t="s">
        <v>33</v>
      </c>
      <c r="AL40" t="s">
        <v>33</v>
      </c>
      <c r="AM40" t="s">
        <v>33</v>
      </c>
      <c r="AN40" t="s">
        <v>33</v>
      </c>
      <c r="AO40" t="s">
        <v>33</v>
      </c>
      <c r="AP40" t="s">
        <v>33</v>
      </c>
      <c r="AQ40" t="s">
        <v>33</v>
      </c>
      <c r="AR40" t="s">
        <v>33</v>
      </c>
    </row>
    <row r="41" spans="1:44" x14ac:dyDescent="0.25">
      <c r="A41">
        <f t="shared" si="1"/>
        <v>40</v>
      </c>
      <c r="B41" t="s">
        <v>39</v>
      </c>
      <c r="C41" t="s">
        <v>99</v>
      </c>
      <c r="D41" t="s">
        <v>108</v>
      </c>
      <c r="E41">
        <f t="shared" si="2"/>
        <v>40</v>
      </c>
      <c r="F41">
        <v>2000</v>
      </c>
      <c r="G41">
        <v>1</v>
      </c>
      <c r="H41">
        <v>1</v>
      </c>
      <c r="I41">
        <v>8</v>
      </c>
      <c r="J41">
        <v>2</v>
      </c>
      <c r="K41">
        <v>2</v>
      </c>
      <c r="L41">
        <v>4</v>
      </c>
      <c r="M41" t="s">
        <v>33</v>
      </c>
      <c r="N41">
        <v>0</v>
      </c>
      <c r="O41" t="s">
        <v>33</v>
      </c>
      <c r="P41">
        <v>0</v>
      </c>
      <c r="Q41" t="s">
        <v>33</v>
      </c>
      <c r="R41">
        <v>1</v>
      </c>
      <c r="S41">
        <v>1</v>
      </c>
      <c r="T41">
        <v>1</v>
      </c>
      <c r="U41">
        <v>1</v>
      </c>
      <c r="V41" t="s">
        <v>33</v>
      </c>
      <c r="W41">
        <f t="shared" si="0"/>
        <v>4</v>
      </c>
      <c r="X41" t="s">
        <v>33</v>
      </c>
      <c r="Y41" t="s">
        <v>33</v>
      </c>
      <c r="Z41" t="s">
        <v>33</v>
      </c>
      <c r="AA41" t="s">
        <v>33</v>
      </c>
      <c r="AB41" t="s">
        <v>33</v>
      </c>
      <c r="AC41" t="s">
        <v>33</v>
      </c>
      <c r="AD41" t="s">
        <v>33</v>
      </c>
      <c r="AE41" t="s">
        <v>33</v>
      </c>
      <c r="AF41" t="s">
        <v>33</v>
      </c>
      <c r="AG41" t="s">
        <v>33</v>
      </c>
      <c r="AH41" t="s">
        <v>33</v>
      </c>
      <c r="AI41" t="s">
        <v>33</v>
      </c>
      <c r="AJ41" t="s">
        <v>33</v>
      </c>
      <c r="AK41" t="s">
        <v>33</v>
      </c>
      <c r="AL41" t="s">
        <v>33</v>
      </c>
      <c r="AM41">
        <v>0</v>
      </c>
      <c r="AN41">
        <v>0</v>
      </c>
      <c r="AO41" t="s">
        <v>33</v>
      </c>
      <c r="AP41" t="s">
        <v>33</v>
      </c>
      <c r="AQ41" t="s">
        <v>33</v>
      </c>
      <c r="AR41" t="s">
        <v>33</v>
      </c>
    </row>
    <row r="42" spans="1:44" x14ac:dyDescent="0.25">
      <c r="A42">
        <f t="shared" si="1"/>
        <v>41</v>
      </c>
      <c r="B42" t="s">
        <v>40</v>
      </c>
      <c r="D42" s="1" t="s">
        <v>124</v>
      </c>
      <c r="E42">
        <f t="shared" si="2"/>
        <v>41</v>
      </c>
      <c r="F42">
        <v>2000</v>
      </c>
      <c r="G42">
        <v>1</v>
      </c>
      <c r="H42">
        <v>1</v>
      </c>
      <c r="I42">
        <v>8</v>
      </c>
      <c r="J42">
        <v>2</v>
      </c>
      <c r="K42">
        <v>2</v>
      </c>
      <c r="L42">
        <v>4</v>
      </c>
      <c r="M42" t="s">
        <v>33</v>
      </c>
      <c r="N42">
        <v>0</v>
      </c>
      <c r="O42" t="s">
        <v>33</v>
      </c>
      <c r="P42">
        <v>0</v>
      </c>
      <c r="Q42" t="s">
        <v>33</v>
      </c>
      <c r="R42">
        <v>1</v>
      </c>
      <c r="S42">
        <v>1</v>
      </c>
      <c r="T42">
        <v>1</v>
      </c>
      <c r="U42">
        <v>1</v>
      </c>
      <c r="V42" t="s">
        <v>33</v>
      </c>
      <c r="W42">
        <f t="shared" si="0"/>
        <v>4</v>
      </c>
      <c r="X42" t="s">
        <v>33</v>
      </c>
      <c r="Y42" t="s">
        <v>33</v>
      </c>
      <c r="Z42" t="s">
        <v>33</v>
      </c>
      <c r="AA42" t="s">
        <v>33</v>
      </c>
      <c r="AB42" t="s">
        <v>33</v>
      </c>
      <c r="AC42" t="s">
        <v>33</v>
      </c>
      <c r="AD42" t="s">
        <v>33</v>
      </c>
      <c r="AE42">
        <v>10</v>
      </c>
      <c r="AF42">
        <v>30</v>
      </c>
      <c r="AG42" t="s">
        <v>33</v>
      </c>
      <c r="AH42" t="s">
        <v>33</v>
      </c>
      <c r="AI42" t="s">
        <v>33</v>
      </c>
      <c r="AJ42" t="s">
        <v>33</v>
      </c>
      <c r="AK42" t="s">
        <v>33</v>
      </c>
      <c r="AL42" t="s">
        <v>33</v>
      </c>
      <c r="AM42">
        <v>0</v>
      </c>
      <c r="AN42">
        <v>1</v>
      </c>
      <c r="AO42" t="s">
        <v>33</v>
      </c>
      <c r="AP42" t="s">
        <v>33</v>
      </c>
      <c r="AQ42" t="s">
        <v>33</v>
      </c>
      <c r="AR42" t="s">
        <v>33</v>
      </c>
    </row>
    <row r="43" spans="1:44" x14ac:dyDescent="0.25">
      <c r="A43">
        <f t="shared" si="1"/>
        <v>42</v>
      </c>
      <c r="B43" t="s">
        <v>41</v>
      </c>
      <c r="D43" t="s">
        <v>125</v>
      </c>
      <c r="E43">
        <f t="shared" si="2"/>
        <v>42</v>
      </c>
      <c r="F43">
        <v>2000</v>
      </c>
      <c r="G43">
        <v>1</v>
      </c>
      <c r="H43">
        <v>1</v>
      </c>
      <c r="I43">
        <v>6</v>
      </c>
      <c r="J43">
        <v>2</v>
      </c>
      <c r="K43">
        <v>2</v>
      </c>
      <c r="L43">
        <v>1</v>
      </c>
      <c r="M43" t="s">
        <v>33</v>
      </c>
      <c r="N43">
        <v>1</v>
      </c>
      <c r="O43">
        <v>1000</v>
      </c>
      <c r="P43">
        <v>0</v>
      </c>
      <c r="Q43" t="s">
        <v>33</v>
      </c>
      <c r="R43" t="s">
        <v>33</v>
      </c>
      <c r="S43" t="s">
        <v>33</v>
      </c>
      <c r="T43" t="s">
        <v>33</v>
      </c>
      <c r="U43" t="s">
        <v>33</v>
      </c>
      <c r="V43" t="s">
        <v>33</v>
      </c>
      <c r="W43">
        <f t="shared" si="0"/>
        <v>0</v>
      </c>
      <c r="X43" t="s">
        <v>33</v>
      </c>
      <c r="Y43" t="s">
        <v>33</v>
      </c>
      <c r="Z43" t="s">
        <v>33</v>
      </c>
      <c r="AA43" t="s">
        <v>33</v>
      </c>
      <c r="AB43" t="s">
        <v>33</v>
      </c>
      <c r="AC43" t="s">
        <v>33</v>
      </c>
      <c r="AD43" t="s">
        <v>33</v>
      </c>
      <c r="AE43" t="s">
        <v>33</v>
      </c>
      <c r="AF43" t="s">
        <v>33</v>
      </c>
      <c r="AG43" t="s">
        <v>33</v>
      </c>
      <c r="AH43" t="s">
        <v>33</v>
      </c>
      <c r="AI43" t="s">
        <v>33</v>
      </c>
      <c r="AJ43" t="s">
        <v>33</v>
      </c>
      <c r="AK43" t="s">
        <v>33</v>
      </c>
      <c r="AL43" t="s">
        <v>33</v>
      </c>
      <c r="AM43" t="s">
        <v>33</v>
      </c>
      <c r="AN43" t="s">
        <v>33</v>
      </c>
      <c r="AO43" t="s">
        <v>33</v>
      </c>
      <c r="AP43" t="s">
        <v>33</v>
      </c>
      <c r="AQ43" t="s">
        <v>33</v>
      </c>
      <c r="AR43" t="s">
        <v>33</v>
      </c>
    </row>
    <row r="44" spans="1:44" x14ac:dyDescent="0.25">
      <c r="A44">
        <f t="shared" si="1"/>
        <v>43</v>
      </c>
      <c r="B44" t="s">
        <v>42</v>
      </c>
      <c r="D44" s="1" t="s">
        <v>126</v>
      </c>
      <c r="E44">
        <f t="shared" si="2"/>
        <v>43</v>
      </c>
      <c r="F44">
        <v>2000</v>
      </c>
      <c r="G44">
        <v>1</v>
      </c>
      <c r="H44">
        <v>1</v>
      </c>
      <c r="I44">
        <v>1</v>
      </c>
      <c r="J44">
        <v>2</v>
      </c>
      <c r="K44">
        <v>2</v>
      </c>
      <c r="L44">
        <v>1</v>
      </c>
      <c r="M44" t="s">
        <v>33</v>
      </c>
      <c r="N44">
        <v>0</v>
      </c>
      <c r="O44" t="s">
        <v>33</v>
      </c>
      <c r="P44">
        <v>0</v>
      </c>
      <c r="Q44" t="s">
        <v>33</v>
      </c>
      <c r="R44">
        <v>1</v>
      </c>
      <c r="S44">
        <v>1</v>
      </c>
      <c r="T44">
        <v>1</v>
      </c>
      <c r="U44">
        <v>1</v>
      </c>
      <c r="V44" t="s">
        <v>33</v>
      </c>
      <c r="W44">
        <f t="shared" si="0"/>
        <v>4</v>
      </c>
      <c r="X44">
        <v>1</v>
      </c>
      <c r="Y44">
        <v>20</v>
      </c>
      <c r="Z44">
        <v>25</v>
      </c>
      <c r="AA44">
        <v>2</v>
      </c>
      <c r="AB44" t="s">
        <v>33</v>
      </c>
      <c r="AC44" t="s">
        <v>33</v>
      </c>
      <c r="AD44" t="s">
        <v>33</v>
      </c>
      <c r="AE44" t="s">
        <v>33</v>
      </c>
      <c r="AF44" t="s">
        <v>33</v>
      </c>
      <c r="AG44" t="s">
        <v>33</v>
      </c>
      <c r="AH44" t="s">
        <v>33</v>
      </c>
      <c r="AI44" t="s">
        <v>33</v>
      </c>
      <c r="AJ44" t="s">
        <v>33</v>
      </c>
      <c r="AK44" t="s">
        <v>33</v>
      </c>
      <c r="AL44" t="s">
        <v>33</v>
      </c>
      <c r="AM44" t="s">
        <v>33</v>
      </c>
      <c r="AN44" t="s">
        <v>33</v>
      </c>
      <c r="AO44" t="s">
        <v>33</v>
      </c>
      <c r="AP44" t="s">
        <v>33</v>
      </c>
      <c r="AQ44" t="s">
        <v>33</v>
      </c>
      <c r="AR44" t="s">
        <v>33</v>
      </c>
    </row>
    <row r="45" spans="1:44" x14ac:dyDescent="0.25">
      <c r="A45">
        <f t="shared" si="1"/>
        <v>44</v>
      </c>
      <c r="B45" t="s">
        <v>43</v>
      </c>
      <c r="D45" t="s">
        <v>105</v>
      </c>
      <c r="E45">
        <f t="shared" si="2"/>
        <v>44</v>
      </c>
      <c r="F45">
        <v>2000</v>
      </c>
      <c r="G45">
        <v>1</v>
      </c>
      <c r="H45">
        <v>1</v>
      </c>
      <c r="I45">
        <v>5</v>
      </c>
      <c r="J45">
        <v>2</v>
      </c>
      <c r="K45">
        <v>2</v>
      </c>
      <c r="L45">
        <v>1</v>
      </c>
      <c r="M45" t="s">
        <v>33</v>
      </c>
      <c r="N45">
        <v>0</v>
      </c>
      <c r="O45" t="s">
        <v>33</v>
      </c>
      <c r="P45">
        <v>0</v>
      </c>
      <c r="Q45" t="s">
        <v>33</v>
      </c>
      <c r="R45">
        <v>1</v>
      </c>
      <c r="S45">
        <v>1</v>
      </c>
      <c r="T45">
        <v>1</v>
      </c>
      <c r="U45">
        <v>1</v>
      </c>
      <c r="V45" t="s">
        <v>33</v>
      </c>
      <c r="W45">
        <f t="shared" si="0"/>
        <v>4</v>
      </c>
      <c r="X45" t="s">
        <v>33</v>
      </c>
      <c r="Y45" t="s">
        <v>33</v>
      </c>
      <c r="Z45" t="s">
        <v>33</v>
      </c>
      <c r="AA45" t="s">
        <v>33</v>
      </c>
      <c r="AB45" t="s">
        <v>33</v>
      </c>
      <c r="AC45" t="s">
        <v>33</v>
      </c>
      <c r="AD45" t="s">
        <v>33</v>
      </c>
      <c r="AE45" t="s">
        <v>33</v>
      </c>
      <c r="AF45" t="s">
        <v>33</v>
      </c>
      <c r="AG45" t="s">
        <v>33</v>
      </c>
      <c r="AH45" t="s">
        <v>33</v>
      </c>
      <c r="AI45" t="s">
        <v>33</v>
      </c>
      <c r="AJ45" t="s">
        <v>33</v>
      </c>
      <c r="AK45" t="s">
        <v>33</v>
      </c>
      <c r="AL45" t="s">
        <v>33</v>
      </c>
      <c r="AM45" t="s">
        <v>33</v>
      </c>
      <c r="AN45" t="s">
        <v>33</v>
      </c>
      <c r="AO45" t="s">
        <v>33</v>
      </c>
      <c r="AP45" t="s">
        <v>33</v>
      </c>
      <c r="AQ45" t="s">
        <v>33</v>
      </c>
      <c r="AR45" t="s">
        <v>33</v>
      </c>
    </row>
    <row r="46" spans="1:44" x14ac:dyDescent="0.25">
      <c r="A46" s="1">
        <f t="shared" si="1"/>
        <v>45</v>
      </c>
      <c r="B46" t="s">
        <v>44</v>
      </c>
      <c r="D46" s="1" t="s">
        <v>127</v>
      </c>
      <c r="E46">
        <f t="shared" si="2"/>
        <v>45</v>
      </c>
      <c r="F46">
        <v>2000</v>
      </c>
      <c r="G46">
        <v>1</v>
      </c>
      <c r="H46">
        <v>1</v>
      </c>
      <c r="I46">
        <v>9</v>
      </c>
      <c r="J46">
        <v>2</v>
      </c>
      <c r="K46">
        <v>2</v>
      </c>
      <c r="L46">
        <v>1</v>
      </c>
      <c r="M46" t="s">
        <v>33</v>
      </c>
      <c r="N46">
        <v>0</v>
      </c>
      <c r="O46" t="s">
        <v>33</v>
      </c>
      <c r="P46">
        <v>0</v>
      </c>
      <c r="Q46" t="s">
        <v>33</v>
      </c>
      <c r="R46">
        <v>1</v>
      </c>
      <c r="S46">
        <v>1</v>
      </c>
      <c r="T46">
        <v>1</v>
      </c>
      <c r="U46">
        <v>1</v>
      </c>
      <c r="V46" t="s">
        <v>33</v>
      </c>
      <c r="W46">
        <f t="shared" si="0"/>
        <v>4</v>
      </c>
      <c r="X46" t="s">
        <v>33</v>
      </c>
      <c r="Y46" t="s">
        <v>33</v>
      </c>
      <c r="Z46" t="s">
        <v>33</v>
      </c>
      <c r="AA46" t="s">
        <v>33</v>
      </c>
      <c r="AB46" t="s">
        <v>33</v>
      </c>
      <c r="AC46" t="s">
        <v>33</v>
      </c>
      <c r="AD46" t="s">
        <v>33</v>
      </c>
      <c r="AE46" t="s">
        <v>33</v>
      </c>
      <c r="AF46" t="s">
        <v>33</v>
      </c>
      <c r="AG46">
        <v>10</v>
      </c>
      <c r="AH46">
        <v>30</v>
      </c>
      <c r="AI46" t="s">
        <v>33</v>
      </c>
      <c r="AJ46" t="s">
        <v>33</v>
      </c>
      <c r="AK46" t="s">
        <v>33</v>
      </c>
      <c r="AL46" t="s">
        <v>33</v>
      </c>
      <c r="AM46" t="s">
        <v>33</v>
      </c>
      <c r="AN46" t="s">
        <v>33</v>
      </c>
      <c r="AO46" t="s">
        <v>33</v>
      </c>
      <c r="AP46" t="s">
        <v>33</v>
      </c>
      <c r="AQ46" t="s">
        <v>33</v>
      </c>
      <c r="AR46" t="s">
        <v>33</v>
      </c>
    </row>
    <row r="47" spans="1:44" x14ac:dyDescent="0.25">
      <c r="A47" s="1">
        <f t="shared" si="1"/>
        <v>46</v>
      </c>
      <c r="B47" t="s">
        <v>45</v>
      </c>
      <c r="C47" t="s">
        <v>99</v>
      </c>
      <c r="D47" t="s">
        <v>108</v>
      </c>
      <c r="E47">
        <f t="shared" si="2"/>
        <v>46</v>
      </c>
      <c r="F47">
        <v>2000</v>
      </c>
      <c r="G47">
        <v>1</v>
      </c>
      <c r="H47">
        <v>1</v>
      </c>
      <c r="I47">
        <v>8</v>
      </c>
      <c r="J47">
        <v>2</v>
      </c>
      <c r="K47">
        <v>2</v>
      </c>
      <c r="L47">
        <v>1</v>
      </c>
      <c r="M47" t="s">
        <v>33</v>
      </c>
      <c r="N47">
        <v>0</v>
      </c>
      <c r="O47" t="s">
        <v>33</v>
      </c>
      <c r="P47">
        <v>0</v>
      </c>
      <c r="Q47" t="s">
        <v>33</v>
      </c>
      <c r="R47">
        <v>1</v>
      </c>
      <c r="S47">
        <v>1</v>
      </c>
      <c r="T47">
        <v>1</v>
      </c>
      <c r="U47">
        <v>1</v>
      </c>
      <c r="V47" t="s">
        <v>33</v>
      </c>
      <c r="W47">
        <f t="shared" si="0"/>
        <v>4</v>
      </c>
      <c r="X47" t="s">
        <v>33</v>
      </c>
      <c r="Y47" t="s">
        <v>33</v>
      </c>
      <c r="Z47" t="s">
        <v>33</v>
      </c>
      <c r="AA47" t="s">
        <v>33</v>
      </c>
      <c r="AB47" t="s">
        <v>33</v>
      </c>
      <c r="AC47" t="s">
        <v>33</v>
      </c>
      <c r="AD47" t="s">
        <v>33</v>
      </c>
      <c r="AE47" t="s">
        <v>33</v>
      </c>
      <c r="AF47" t="s">
        <v>33</v>
      </c>
      <c r="AG47" t="s">
        <v>33</v>
      </c>
      <c r="AH47" t="s">
        <v>33</v>
      </c>
      <c r="AI47" t="s">
        <v>33</v>
      </c>
      <c r="AJ47" t="s">
        <v>33</v>
      </c>
      <c r="AK47" t="s">
        <v>33</v>
      </c>
      <c r="AL47" t="s">
        <v>33</v>
      </c>
      <c r="AM47">
        <v>0</v>
      </c>
      <c r="AN47">
        <v>0</v>
      </c>
      <c r="AO47" t="s">
        <v>33</v>
      </c>
      <c r="AP47" t="s">
        <v>33</v>
      </c>
      <c r="AQ47" t="s">
        <v>33</v>
      </c>
      <c r="AR47" t="s">
        <v>33</v>
      </c>
    </row>
    <row r="48" spans="1:44" x14ac:dyDescent="0.25">
      <c r="A48" s="1">
        <f t="shared" si="1"/>
        <v>47</v>
      </c>
      <c r="B48" t="s">
        <v>46</v>
      </c>
      <c r="D48" t="s">
        <v>119</v>
      </c>
      <c r="E48">
        <f t="shared" si="2"/>
        <v>47</v>
      </c>
      <c r="F48">
        <v>2000</v>
      </c>
      <c r="G48">
        <v>1</v>
      </c>
      <c r="H48">
        <v>1</v>
      </c>
      <c r="I48">
        <v>8</v>
      </c>
      <c r="J48">
        <v>2</v>
      </c>
      <c r="K48">
        <v>2</v>
      </c>
      <c r="L48">
        <v>1</v>
      </c>
      <c r="M48" t="s">
        <v>33</v>
      </c>
      <c r="N48">
        <v>0</v>
      </c>
      <c r="O48" t="s">
        <v>33</v>
      </c>
      <c r="P48">
        <v>0</v>
      </c>
      <c r="Q48" t="s">
        <v>33</v>
      </c>
      <c r="R48">
        <v>1</v>
      </c>
      <c r="S48">
        <v>1</v>
      </c>
      <c r="T48">
        <v>1</v>
      </c>
      <c r="U48">
        <v>1</v>
      </c>
      <c r="V48" t="s">
        <v>33</v>
      </c>
      <c r="W48">
        <f t="shared" si="0"/>
        <v>4</v>
      </c>
      <c r="X48" t="s">
        <v>33</v>
      </c>
      <c r="Y48" t="s">
        <v>33</v>
      </c>
      <c r="Z48" t="s">
        <v>33</v>
      </c>
      <c r="AA48" t="s">
        <v>33</v>
      </c>
      <c r="AB48" t="s">
        <v>33</v>
      </c>
      <c r="AC48" t="s">
        <v>33</v>
      </c>
      <c r="AD48" t="s">
        <v>33</v>
      </c>
      <c r="AE48" t="s">
        <v>33</v>
      </c>
      <c r="AF48" t="s">
        <v>33</v>
      </c>
      <c r="AG48" t="s">
        <v>33</v>
      </c>
      <c r="AH48" t="s">
        <v>33</v>
      </c>
      <c r="AI48" t="s">
        <v>33</v>
      </c>
      <c r="AJ48" t="s">
        <v>33</v>
      </c>
      <c r="AK48" t="s">
        <v>33</v>
      </c>
      <c r="AL48" t="s">
        <v>33</v>
      </c>
      <c r="AM48">
        <v>0</v>
      </c>
      <c r="AN48">
        <v>2</v>
      </c>
      <c r="AO48">
        <v>1</v>
      </c>
      <c r="AP48">
        <v>3</v>
      </c>
      <c r="AQ48">
        <v>50</v>
      </c>
      <c r="AR48" t="s">
        <v>33</v>
      </c>
    </row>
    <row r="49" spans="1:44" x14ac:dyDescent="0.25">
      <c r="A49">
        <f t="shared" si="1"/>
        <v>48</v>
      </c>
      <c r="B49" t="s">
        <v>72</v>
      </c>
      <c r="C49" t="s">
        <v>134</v>
      </c>
      <c r="D49" t="s">
        <v>135</v>
      </c>
      <c r="E49">
        <f t="shared" si="2"/>
        <v>48</v>
      </c>
      <c r="F49">
        <v>2000</v>
      </c>
      <c r="G49">
        <v>0</v>
      </c>
      <c r="H49">
        <v>1</v>
      </c>
      <c r="I49">
        <v>1</v>
      </c>
      <c r="J49">
        <v>1</v>
      </c>
      <c r="K49">
        <v>2</v>
      </c>
      <c r="L49" t="s">
        <v>33</v>
      </c>
      <c r="M49" t="s">
        <v>33</v>
      </c>
      <c r="N49">
        <v>1</v>
      </c>
      <c r="O49">
        <v>1000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33</v>
      </c>
      <c r="V49" t="s">
        <v>33</v>
      </c>
      <c r="W49">
        <f t="shared" si="0"/>
        <v>0</v>
      </c>
      <c r="X49" t="s">
        <v>33</v>
      </c>
      <c r="Y49" t="s">
        <v>33</v>
      </c>
      <c r="Z49" t="s">
        <v>33</v>
      </c>
      <c r="AA49" t="s">
        <v>33</v>
      </c>
      <c r="AB49" t="s">
        <v>33</v>
      </c>
      <c r="AC49" t="s">
        <v>33</v>
      </c>
      <c r="AD49" t="s">
        <v>33</v>
      </c>
      <c r="AE49" t="s">
        <v>33</v>
      </c>
      <c r="AF49" t="s">
        <v>33</v>
      </c>
      <c r="AG49" t="s">
        <v>33</v>
      </c>
      <c r="AH49" t="s">
        <v>33</v>
      </c>
      <c r="AI49" t="s">
        <v>33</v>
      </c>
      <c r="AJ49" t="s">
        <v>33</v>
      </c>
      <c r="AK49" t="s">
        <v>33</v>
      </c>
      <c r="AL49" t="s">
        <v>33</v>
      </c>
      <c r="AM49" t="s">
        <v>33</v>
      </c>
      <c r="AN49" t="s">
        <v>33</v>
      </c>
      <c r="AO49" t="s">
        <v>33</v>
      </c>
      <c r="AP49" t="s">
        <v>33</v>
      </c>
      <c r="AQ49" t="s">
        <v>33</v>
      </c>
      <c r="AR49" t="s">
        <v>33</v>
      </c>
    </row>
    <row r="50" spans="1:44" x14ac:dyDescent="0.25">
      <c r="A50">
        <f t="shared" si="1"/>
        <v>49</v>
      </c>
      <c r="B50" t="s">
        <v>73</v>
      </c>
      <c r="C50" t="s">
        <v>134</v>
      </c>
      <c r="D50" t="s">
        <v>135</v>
      </c>
      <c r="E50">
        <f t="shared" si="2"/>
        <v>49</v>
      </c>
      <c r="F50">
        <v>1999</v>
      </c>
      <c r="G50">
        <v>2</v>
      </c>
      <c r="H50">
        <v>1</v>
      </c>
      <c r="I50">
        <v>6</v>
      </c>
      <c r="J50">
        <v>1</v>
      </c>
      <c r="K50">
        <v>2</v>
      </c>
      <c r="L50" t="s">
        <v>33</v>
      </c>
      <c r="M50" t="s">
        <v>33</v>
      </c>
      <c r="N50">
        <v>1</v>
      </c>
      <c r="O50">
        <v>1000</v>
      </c>
      <c r="P50" t="s">
        <v>33</v>
      </c>
      <c r="Q50" t="s">
        <v>33</v>
      </c>
      <c r="R50" t="s">
        <v>33</v>
      </c>
      <c r="S50" t="s">
        <v>33</v>
      </c>
      <c r="T50" t="s">
        <v>33</v>
      </c>
      <c r="U50" t="s">
        <v>33</v>
      </c>
      <c r="V50" t="s">
        <v>33</v>
      </c>
      <c r="W50">
        <f t="shared" si="0"/>
        <v>0</v>
      </c>
      <c r="X50" t="s">
        <v>33</v>
      </c>
      <c r="Y50" t="s">
        <v>33</v>
      </c>
      <c r="Z50" t="s">
        <v>33</v>
      </c>
      <c r="AA50" t="s">
        <v>33</v>
      </c>
      <c r="AB50" t="s">
        <v>33</v>
      </c>
      <c r="AC50" t="s">
        <v>33</v>
      </c>
      <c r="AD50" t="s">
        <v>33</v>
      </c>
      <c r="AE50" t="s">
        <v>33</v>
      </c>
      <c r="AF50" t="s">
        <v>33</v>
      </c>
      <c r="AG50" t="s">
        <v>33</v>
      </c>
      <c r="AH50" t="s">
        <v>33</v>
      </c>
      <c r="AI50" t="s">
        <v>33</v>
      </c>
      <c r="AJ50" t="s">
        <v>33</v>
      </c>
      <c r="AK50" t="s">
        <v>33</v>
      </c>
      <c r="AL50" t="s">
        <v>33</v>
      </c>
      <c r="AM50" t="s">
        <v>33</v>
      </c>
      <c r="AN50" t="s">
        <v>33</v>
      </c>
      <c r="AO50" t="s">
        <v>33</v>
      </c>
      <c r="AP50" t="s">
        <v>33</v>
      </c>
      <c r="AQ50" t="s">
        <v>33</v>
      </c>
      <c r="AR50" t="s">
        <v>33</v>
      </c>
    </row>
    <row r="51" spans="1:44" x14ac:dyDescent="0.25">
      <c r="A51">
        <f t="shared" si="1"/>
        <v>50</v>
      </c>
      <c r="B51" t="s">
        <v>70</v>
      </c>
      <c r="C51" t="s">
        <v>133</v>
      </c>
      <c r="D51" t="s">
        <v>129</v>
      </c>
      <c r="E51">
        <f t="shared" si="2"/>
        <v>50</v>
      </c>
      <c r="F51">
        <v>2000</v>
      </c>
      <c r="G51">
        <v>1</v>
      </c>
      <c r="H51">
        <v>1</v>
      </c>
      <c r="I51">
        <v>10</v>
      </c>
      <c r="J51">
        <v>1</v>
      </c>
      <c r="K51">
        <v>2</v>
      </c>
      <c r="L51" t="s">
        <v>33</v>
      </c>
      <c r="M51" t="s">
        <v>33</v>
      </c>
      <c r="N51" t="s">
        <v>33</v>
      </c>
      <c r="O51" t="s">
        <v>33</v>
      </c>
      <c r="P51">
        <v>0</v>
      </c>
      <c r="Q51" t="s">
        <v>33</v>
      </c>
      <c r="R51" t="s">
        <v>33</v>
      </c>
      <c r="S51" t="s">
        <v>33</v>
      </c>
      <c r="T51" t="s">
        <v>33</v>
      </c>
      <c r="U51" t="s">
        <v>33</v>
      </c>
      <c r="V51" t="s">
        <v>33</v>
      </c>
      <c r="W51">
        <f t="shared" si="0"/>
        <v>0</v>
      </c>
      <c r="X51" t="s">
        <v>33</v>
      </c>
      <c r="Y51" t="s">
        <v>33</v>
      </c>
      <c r="Z51" t="s">
        <v>33</v>
      </c>
      <c r="AA51" t="s">
        <v>33</v>
      </c>
      <c r="AB51" t="s">
        <v>33</v>
      </c>
      <c r="AC51" t="s">
        <v>33</v>
      </c>
      <c r="AD51" t="s">
        <v>33</v>
      </c>
      <c r="AE51" t="s">
        <v>33</v>
      </c>
      <c r="AF51" t="s">
        <v>33</v>
      </c>
      <c r="AG51" t="s">
        <v>33</v>
      </c>
      <c r="AH51" t="s">
        <v>33</v>
      </c>
      <c r="AI51" t="s">
        <v>33</v>
      </c>
      <c r="AJ51" t="s">
        <v>33</v>
      </c>
      <c r="AK51" t="s">
        <v>33</v>
      </c>
      <c r="AL51" t="s">
        <v>33</v>
      </c>
      <c r="AM51" t="s">
        <v>33</v>
      </c>
      <c r="AN51" t="s">
        <v>33</v>
      </c>
      <c r="AO51" t="s">
        <v>33</v>
      </c>
      <c r="AP51" t="s">
        <v>33</v>
      </c>
      <c r="AQ51" t="s">
        <v>33</v>
      </c>
      <c r="AR51" t="s">
        <v>33</v>
      </c>
    </row>
    <row r="52" spans="1:44" x14ac:dyDescent="0.25">
      <c r="A52">
        <f t="shared" si="1"/>
        <v>51</v>
      </c>
      <c r="B52" t="s">
        <v>71</v>
      </c>
      <c r="C52" t="s">
        <v>133</v>
      </c>
      <c r="D52" t="s">
        <v>129</v>
      </c>
      <c r="E52">
        <f t="shared" si="2"/>
        <v>51</v>
      </c>
      <c r="F52">
        <v>2000</v>
      </c>
      <c r="G52">
        <v>1</v>
      </c>
      <c r="H52">
        <v>1</v>
      </c>
      <c r="I52">
        <v>3</v>
      </c>
      <c r="J52">
        <v>1</v>
      </c>
      <c r="K52">
        <v>2</v>
      </c>
      <c r="L52" t="s">
        <v>33</v>
      </c>
      <c r="M52" t="s">
        <v>33</v>
      </c>
      <c r="N52" t="s">
        <v>33</v>
      </c>
      <c r="O52" t="s">
        <v>33</v>
      </c>
      <c r="P52">
        <v>0</v>
      </c>
      <c r="Q52" t="s">
        <v>33</v>
      </c>
      <c r="R52" t="s">
        <v>33</v>
      </c>
      <c r="S52" t="s">
        <v>33</v>
      </c>
      <c r="T52" t="s">
        <v>33</v>
      </c>
      <c r="U52" t="s">
        <v>33</v>
      </c>
      <c r="V52" t="s">
        <v>33</v>
      </c>
      <c r="W52">
        <f t="shared" si="0"/>
        <v>0</v>
      </c>
      <c r="X52" t="s">
        <v>33</v>
      </c>
      <c r="Y52" t="s">
        <v>33</v>
      </c>
      <c r="Z52" t="s">
        <v>33</v>
      </c>
      <c r="AA52" t="s">
        <v>33</v>
      </c>
      <c r="AB52" t="s">
        <v>33</v>
      </c>
      <c r="AC52" t="s">
        <v>33</v>
      </c>
      <c r="AD52" t="s">
        <v>33</v>
      </c>
      <c r="AE52" t="s">
        <v>33</v>
      </c>
      <c r="AF52" t="s">
        <v>33</v>
      </c>
      <c r="AG52" t="s">
        <v>33</v>
      </c>
      <c r="AH52" t="s">
        <v>33</v>
      </c>
      <c r="AI52" t="s">
        <v>33</v>
      </c>
      <c r="AJ52" t="s">
        <v>33</v>
      </c>
      <c r="AK52" t="s">
        <v>33</v>
      </c>
      <c r="AL52" t="s">
        <v>33</v>
      </c>
      <c r="AM52" t="s">
        <v>33</v>
      </c>
      <c r="AN52" t="s">
        <v>33</v>
      </c>
      <c r="AO52" t="s">
        <v>33</v>
      </c>
      <c r="AP52" t="s">
        <v>33</v>
      </c>
      <c r="AQ52" t="s">
        <v>33</v>
      </c>
      <c r="AR52" t="s">
        <v>33</v>
      </c>
    </row>
    <row r="53" spans="1:44" x14ac:dyDescent="0.25">
      <c r="A53">
        <f t="shared" si="1"/>
        <v>52</v>
      </c>
      <c r="B53" t="s">
        <v>75</v>
      </c>
      <c r="C53" t="s">
        <v>77</v>
      </c>
      <c r="D53" t="s">
        <v>108</v>
      </c>
      <c r="E53">
        <f t="shared" si="2"/>
        <v>52</v>
      </c>
      <c r="F53">
        <v>2000</v>
      </c>
      <c r="G53">
        <v>1</v>
      </c>
      <c r="H53">
        <v>1</v>
      </c>
      <c r="I53">
        <v>5</v>
      </c>
      <c r="J53">
        <v>1</v>
      </c>
      <c r="K53">
        <v>2</v>
      </c>
      <c r="L53" t="s">
        <v>33</v>
      </c>
      <c r="M53" t="s">
        <v>33</v>
      </c>
      <c r="N53">
        <v>0</v>
      </c>
      <c r="O53" t="s">
        <v>33</v>
      </c>
      <c r="P53">
        <v>0</v>
      </c>
      <c r="Q53" t="s">
        <v>33</v>
      </c>
      <c r="R53">
        <v>1</v>
      </c>
      <c r="S53">
        <v>1</v>
      </c>
      <c r="T53">
        <v>1</v>
      </c>
      <c r="U53">
        <v>1</v>
      </c>
      <c r="V53">
        <v>1E-3</v>
      </c>
      <c r="W53">
        <f t="shared" si="0"/>
        <v>4.0010000000000003</v>
      </c>
      <c r="X53" t="s">
        <v>33</v>
      </c>
      <c r="Y53" t="s">
        <v>33</v>
      </c>
      <c r="Z53" t="s">
        <v>33</v>
      </c>
      <c r="AA53" t="s">
        <v>33</v>
      </c>
      <c r="AB53" t="s">
        <v>33</v>
      </c>
      <c r="AC53" t="s">
        <v>33</v>
      </c>
      <c r="AD53" t="s">
        <v>33</v>
      </c>
      <c r="AE53" t="s">
        <v>33</v>
      </c>
      <c r="AF53" t="s">
        <v>33</v>
      </c>
      <c r="AG53" t="s">
        <v>33</v>
      </c>
      <c r="AH53" t="s">
        <v>33</v>
      </c>
      <c r="AI53" t="s">
        <v>33</v>
      </c>
      <c r="AJ53" t="s">
        <v>33</v>
      </c>
      <c r="AK53" t="s">
        <v>33</v>
      </c>
      <c r="AL53" t="s">
        <v>33</v>
      </c>
      <c r="AM53" t="s">
        <v>33</v>
      </c>
      <c r="AN53" t="s">
        <v>33</v>
      </c>
      <c r="AO53" t="s">
        <v>33</v>
      </c>
      <c r="AP53" t="s">
        <v>33</v>
      </c>
      <c r="AQ53" t="s">
        <v>33</v>
      </c>
      <c r="AR53" t="s">
        <v>33</v>
      </c>
    </row>
    <row r="54" spans="1:44" s="1" customFormat="1" ht="13.5" customHeight="1" x14ac:dyDescent="0.25">
      <c r="A54">
        <f t="shared" si="1"/>
        <v>53</v>
      </c>
      <c r="B54" s="1" t="s">
        <v>76</v>
      </c>
      <c r="C54" s="1" t="s">
        <v>132</v>
      </c>
      <c r="D54" s="1" t="s">
        <v>129</v>
      </c>
      <c r="E54">
        <f t="shared" si="2"/>
        <v>53</v>
      </c>
      <c r="F54" s="1">
        <v>2000</v>
      </c>
      <c r="G54" s="1">
        <v>1</v>
      </c>
      <c r="H54" s="1">
        <v>1</v>
      </c>
      <c r="I54" s="1">
        <v>5</v>
      </c>
      <c r="J54" s="1">
        <v>1</v>
      </c>
      <c r="K54" s="1">
        <v>2</v>
      </c>
      <c r="L54" s="1" t="s">
        <v>33</v>
      </c>
      <c r="M54" s="1" t="s">
        <v>33</v>
      </c>
      <c r="N54" s="1">
        <v>0</v>
      </c>
      <c r="O54" s="1" t="s">
        <v>33</v>
      </c>
      <c r="P54" s="1">
        <v>0</v>
      </c>
      <c r="Q54" s="1" t="s">
        <v>33</v>
      </c>
      <c r="R54" s="1">
        <v>1</v>
      </c>
      <c r="S54" s="1">
        <v>1</v>
      </c>
      <c r="T54" s="1">
        <v>1</v>
      </c>
      <c r="U54" s="1">
        <v>1</v>
      </c>
      <c r="V54" s="1">
        <v>4</v>
      </c>
      <c r="W54" s="1">
        <f t="shared" si="0"/>
        <v>8</v>
      </c>
      <c r="X54" s="1" t="s">
        <v>33</v>
      </c>
      <c r="Y54" s="1" t="s">
        <v>33</v>
      </c>
      <c r="Z54" s="1" t="s">
        <v>33</v>
      </c>
      <c r="AA54" s="1" t="s">
        <v>33</v>
      </c>
      <c r="AB54" s="1" t="s">
        <v>33</v>
      </c>
      <c r="AC54" s="1" t="s">
        <v>33</v>
      </c>
      <c r="AD54" s="1" t="s">
        <v>33</v>
      </c>
      <c r="AE54" s="1" t="s">
        <v>33</v>
      </c>
      <c r="AF54" s="1" t="s">
        <v>33</v>
      </c>
      <c r="AG54" s="1" t="s">
        <v>33</v>
      </c>
      <c r="AH54" s="1" t="s">
        <v>33</v>
      </c>
      <c r="AI54" s="1" t="s">
        <v>33</v>
      </c>
      <c r="AJ54" s="1" t="s">
        <v>33</v>
      </c>
      <c r="AK54" s="1" t="s">
        <v>33</v>
      </c>
      <c r="AL54" s="1" t="s">
        <v>33</v>
      </c>
      <c r="AM54" s="1" t="s">
        <v>33</v>
      </c>
      <c r="AN54" s="1" t="s">
        <v>33</v>
      </c>
      <c r="AO54" s="1" t="s">
        <v>33</v>
      </c>
      <c r="AP54" s="1" t="s">
        <v>33</v>
      </c>
      <c r="AQ54" s="1" t="s">
        <v>33</v>
      </c>
      <c r="AR54" t="s">
        <v>33</v>
      </c>
    </row>
    <row r="55" spans="1:44" x14ac:dyDescent="0.25">
      <c r="A55">
        <f t="shared" si="1"/>
        <v>54</v>
      </c>
      <c r="B55" t="s">
        <v>130</v>
      </c>
      <c r="D55" s="1" t="s">
        <v>129</v>
      </c>
      <c r="E55">
        <f t="shared" si="2"/>
        <v>54</v>
      </c>
      <c r="F55">
        <v>2000</v>
      </c>
      <c r="G55">
        <v>1</v>
      </c>
      <c r="H55">
        <v>1</v>
      </c>
      <c r="I55">
        <v>4</v>
      </c>
      <c r="J55">
        <v>1</v>
      </c>
      <c r="K55">
        <v>2</v>
      </c>
      <c r="L55" t="s">
        <v>33</v>
      </c>
      <c r="M55" t="s">
        <v>33</v>
      </c>
      <c r="N55">
        <v>1</v>
      </c>
      <c r="O55">
        <v>1000</v>
      </c>
      <c r="P55" t="s">
        <v>33</v>
      </c>
      <c r="Q55" t="s">
        <v>33</v>
      </c>
      <c r="R55" t="s">
        <v>33</v>
      </c>
      <c r="S55" t="s">
        <v>33</v>
      </c>
      <c r="T55" t="s">
        <v>33</v>
      </c>
      <c r="U55" t="s">
        <v>33</v>
      </c>
      <c r="V55" t="s">
        <v>33</v>
      </c>
      <c r="W55">
        <f>SUM(R55:V55)</f>
        <v>0</v>
      </c>
      <c r="X55" t="s">
        <v>33</v>
      </c>
      <c r="Y55" s="1" t="s">
        <v>33</v>
      </c>
      <c r="Z55" t="s">
        <v>33</v>
      </c>
      <c r="AA55" t="s">
        <v>33</v>
      </c>
      <c r="AB55" t="s">
        <v>33</v>
      </c>
      <c r="AC55" t="s">
        <v>33</v>
      </c>
      <c r="AD55" t="s">
        <v>33</v>
      </c>
      <c r="AE55" t="s">
        <v>33</v>
      </c>
      <c r="AF55" t="s">
        <v>33</v>
      </c>
      <c r="AG55" t="s">
        <v>33</v>
      </c>
      <c r="AH55" t="s">
        <v>33</v>
      </c>
      <c r="AI55" t="s">
        <v>33</v>
      </c>
      <c r="AJ55" t="s">
        <v>33</v>
      </c>
      <c r="AK55" t="s">
        <v>33</v>
      </c>
      <c r="AL55" t="s">
        <v>33</v>
      </c>
      <c r="AM55" t="s">
        <v>33</v>
      </c>
      <c r="AN55" t="s">
        <v>33</v>
      </c>
      <c r="AO55" t="s">
        <v>33</v>
      </c>
      <c r="AP55" t="s">
        <v>33</v>
      </c>
      <c r="AQ55" t="s">
        <v>33</v>
      </c>
      <c r="AR55" t="s">
        <v>33</v>
      </c>
    </row>
    <row r="56" spans="1:44" x14ac:dyDescent="0.25">
      <c r="A56">
        <f t="shared" si="1"/>
        <v>55</v>
      </c>
      <c r="B56" t="s">
        <v>128</v>
      </c>
      <c r="C56" t="s">
        <v>131</v>
      </c>
      <c r="D56" s="1" t="s">
        <v>129</v>
      </c>
      <c r="E56">
        <f t="shared" si="2"/>
        <v>55</v>
      </c>
      <c r="F56">
        <v>2000</v>
      </c>
      <c r="G56">
        <v>1</v>
      </c>
      <c r="H56">
        <v>0</v>
      </c>
      <c r="I56">
        <v>8</v>
      </c>
      <c r="J56" t="s">
        <v>33</v>
      </c>
      <c r="K56">
        <v>2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33</v>
      </c>
      <c r="S56" t="s">
        <v>33</v>
      </c>
      <c r="T56" t="s">
        <v>33</v>
      </c>
      <c r="U56" t="s">
        <v>33</v>
      </c>
      <c r="V56" t="s">
        <v>33</v>
      </c>
      <c r="W56" t="s">
        <v>33</v>
      </c>
      <c r="X56" t="s">
        <v>33</v>
      </c>
      <c r="Y56" s="1" t="s">
        <v>33</v>
      </c>
      <c r="Z56" t="s">
        <v>33</v>
      </c>
      <c r="AA56" t="s">
        <v>33</v>
      </c>
      <c r="AB56" t="s">
        <v>33</v>
      </c>
      <c r="AC56" t="s">
        <v>33</v>
      </c>
      <c r="AD56" t="s">
        <v>33</v>
      </c>
      <c r="AE56" t="s">
        <v>33</v>
      </c>
      <c r="AF56" t="s">
        <v>33</v>
      </c>
      <c r="AG56" t="s">
        <v>33</v>
      </c>
      <c r="AH56" t="s">
        <v>33</v>
      </c>
      <c r="AI56" t="s">
        <v>33</v>
      </c>
      <c r="AJ56" t="s">
        <v>33</v>
      </c>
      <c r="AK56" t="s">
        <v>33</v>
      </c>
      <c r="AL56" t="s">
        <v>33</v>
      </c>
      <c r="AM56">
        <v>0</v>
      </c>
      <c r="AN56">
        <v>1</v>
      </c>
      <c r="AO56" t="s">
        <v>33</v>
      </c>
      <c r="AP56" t="s">
        <v>33</v>
      </c>
      <c r="AQ56" t="s">
        <v>33</v>
      </c>
      <c r="AR56" t="s">
        <v>33</v>
      </c>
    </row>
    <row r="57" spans="1:44" x14ac:dyDescent="0.25">
      <c r="A57">
        <f t="shared" si="1"/>
        <v>56</v>
      </c>
      <c r="B57" t="s">
        <v>101</v>
      </c>
      <c r="C57" t="s">
        <v>137</v>
      </c>
      <c r="D57" t="s">
        <v>141</v>
      </c>
      <c r="E57">
        <f t="shared" si="2"/>
        <v>56</v>
      </c>
      <c r="F57">
        <v>2000</v>
      </c>
      <c r="G57">
        <v>1</v>
      </c>
      <c r="H57">
        <v>1</v>
      </c>
      <c r="I57">
        <v>1</v>
      </c>
      <c r="J57">
        <v>1</v>
      </c>
      <c r="K57">
        <v>2</v>
      </c>
      <c r="L57" t="s">
        <v>33</v>
      </c>
      <c r="M57" t="s">
        <v>33</v>
      </c>
      <c r="N57">
        <v>1</v>
      </c>
      <c r="O57">
        <v>1000</v>
      </c>
      <c r="P57" t="s">
        <v>33</v>
      </c>
      <c r="Q57" t="s">
        <v>33</v>
      </c>
      <c r="R57" t="s">
        <v>33</v>
      </c>
      <c r="S57" t="s">
        <v>33</v>
      </c>
      <c r="T57" t="s">
        <v>33</v>
      </c>
      <c r="U57" t="s">
        <v>33</v>
      </c>
      <c r="V57" t="s">
        <v>33</v>
      </c>
      <c r="W57">
        <f t="shared" ref="W57:W59" si="3">SUM(R57:V57)</f>
        <v>0</v>
      </c>
      <c r="X57" t="s">
        <v>33</v>
      </c>
      <c r="Y57" s="1" t="s">
        <v>33</v>
      </c>
      <c r="Z57" t="s">
        <v>33</v>
      </c>
      <c r="AA57" t="s">
        <v>33</v>
      </c>
      <c r="AB57" t="s">
        <v>33</v>
      </c>
      <c r="AC57" t="s">
        <v>33</v>
      </c>
      <c r="AD57" t="s">
        <v>33</v>
      </c>
      <c r="AE57" t="s">
        <v>33</v>
      </c>
      <c r="AF57" t="s">
        <v>33</v>
      </c>
      <c r="AG57" t="s">
        <v>33</v>
      </c>
      <c r="AH57" t="s">
        <v>33</v>
      </c>
      <c r="AI57" t="s">
        <v>33</v>
      </c>
      <c r="AJ57" t="s">
        <v>33</v>
      </c>
      <c r="AK57" t="s">
        <v>33</v>
      </c>
      <c r="AL57" t="s">
        <v>33</v>
      </c>
      <c r="AM57" t="s">
        <v>33</v>
      </c>
      <c r="AN57" t="s">
        <v>33</v>
      </c>
      <c r="AO57" t="s">
        <v>33</v>
      </c>
      <c r="AP57" t="s">
        <v>33</v>
      </c>
      <c r="AQ57" t="s">
        <v>33</v>
      </c>
      <c r="AR57" t="s">
        <v>33</v>
      </c>
    </row>
    <row r="58" spans="1:44" x14ac:dyDescent="0.25">
      <c r="A58">
        <f t="shared" si="1"/>
        <v>57</v>
      </c>
      <c r="B58" t="s">
        <v>101</v>
      </c>
      <c r="C58" t="s">
        <v>137</v>
      </c>
      <c r="D58" t="s">
        <v>136</v>
      </c>
      <c r="E58">
        <v>56</v>
      </c>
      <c r="F58">
        <v>2000</v>
      </c>
      <c r="G58">
        <v>1</v>
      </c>
      <c r="H58">
        <v>1</v>
      </c>
      <c r="I58">
        <v>1</v>
      </c>
      <c r="J58">
        <v>1</v>
      </c>
      <c r="K58">
        <v>2</v>
      </c>
      <c r="L58" t="s">
        <v>33</v>
      </c>
      <c r="M58" t="s">
        <v>33</v>
      </c>
      <c r="N58">
        <v>1</v>
      </c>
      <c r="O58">
        <v>1000</v>
      </c>
      <c r="P58" t="s">
        <v>33</v>
      </c>
      <c r="Q58" t="s">
        <v>33</v>
      </c>
      <c r="R58" t="s">
        <v>33</v>
      </c>
      <c r="S58" t="s">
        <v>33</v>
      </c>
      <c r="T58" t="s">
        <v>33</v>
      </c>
      <c r="U58" t="s">
        <v>33</v>
      </c>
      <c r="V58" t="s">
        <v>33</v>
      </c>
      <c r="W58">
        <f t="shared" si="3"/>
        <v>0</v>
      </c>
      <c r="X58" t="s">
        <v>33</v>
      </c>
      <c r="Y58" s="1" t="s">
        <v>33</v>
      </c>
      <c r="Z58" t="s">
        <v>33</v>
      </c>
      <c r="AA58" t="s">
        <v>33</v>
      </c>
      <c r="AB58" t="s">
        <v>33</v>
      </c>
      <c r="AC58" t="s">
        <v>33</v>
      </c>
      <c r="AD58" t="s">
        <v>33</v>
      </c>
      <c r="AE58" t="s">
        <v>33</v>
      </c>
      <c r="AF58" t="s">
        <v>33</v>
      </c>
      <c r="AG58" t="s">
        <v>33</v>
      </c>
      <c r="AH58" t="s">
        <v>33</v>
      </c>
      <c r="AI58" t="s">
        <v>33</v>
      </c>
      <c r="AJ58" t="s">
        <v>33</v>
      </c>
      <c r="AK58" t="s">
        <v>33</v>
      </c>
      <c r="AL58" t="s">
        <v>33</v>
      </c>
      <c r="AM58" t="s">
        <v>33</v>
      </c>
      <c r="AN58" t="s">
        <v>33</v>
      </c>
      <c r="AO58" t="s">
        <v>33</v>
      </c>
      <c r="AP58" t="s">
        <v>33</v>
      </c>
      <c r="AQ58" t="s">
        <v>33</v>
      </c>
      <c r="AR58" t="s">
        <v>33</v>
      </c>
    </row>
    <row r="59" spans="1:44" x14ac:dyDescent="0.25">
      <c r="A59">
        <f>A58+1</f>
        <v>58</v>
      </c>
      <c r="B59" t="s">
        <v>139</v>
      </c>
      <c r="D59" s="1" t="s">
        <v>140</v>
      </c>
      <c r="E59">
        <v>58</v>
      </c>
      <c r="F59">
        <v>2000</v>
      </c>
      <c r="G59">
        <v>1</v>
      </c>
      <c r="H59">
        <v>1</v>
      </c>
      <c r="I59">
        <v>0</v>
      </c>
      <c r="J59">
        <v>1</v>
      </c>
      <c r="K59">
        <v>2</v>
      </c>
      <c r="L59" t="s">
        <v>33</v>
      </c>
      <c r="M59" t="s">
        <v>33</v>
      </c>
      <c r="N59">
        <v>0</v>
      </c>
      <c r="O59" t="s">
        <v>33</v>
      </c>
      <c r="P59">
        <v>0</v>
      </c>
      <c r="Q59" t="s">
        <v>33</v>
      </c>
      <c r="R59" t="s">
        <v>33</v>
      </c>
      <c r="S59" t="s">
        <v>33</v>
      </c>
      <c r="T59" t="s">
        <v>33</v>
      </c>
      <c r="U59">
        <v>4</v>
      </c>
      <c r="V59" t="s">
        <v>33</v>
      </c>
      <c r="W59">
        <f t="shared" si="3"/>
        <v>4</v>
      </c>
      <c r="X59">
        <v>1</v>
      </c>
      <c r="Y59">
        <v>45</v>
      </c>
      <c r="Z59">
        <v>5</v>
      </c>
      <c r="AA59">
        <v>2</v>
      </c>
      <c r="AB59" t="s">
        <v>33</v>
      </c>
      <c r="AC59" t="s">
        <v>33</v>
      </c>
      <c r="AD59" t="s">
        <v>33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33</v>
      </c>
      <c r="AN59" t="s">
        <v>33</v>
      </c>
      <c r="AO59" t="s">
        <v>33</v>
      </c>
      <c r="AP59" t="s">
        <v>33</v>
      </c>
      <c r="AQ59" t="s">
        <v>33</v>
      </c>
      <c r="AR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test-data-for-costs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Dumoulin, Christine Elise</dc:creator>
  <cp:lastModifiedBy>Taaja Tucker-Silva</cp:lastModifiedBy>
  <dcterms:created xsi:type="dcterms:W3CDTF">2019-07-18T16:59:15Z</dcterms:created>
  <dcterms:modified xsi:type="dcterms:W3CDTF">2023-03-10T21:01:52Z</dcterms:modified>
</cp:coreProperties>
</file>