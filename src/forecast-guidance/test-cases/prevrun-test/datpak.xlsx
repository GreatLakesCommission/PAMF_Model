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midcycle\src\forecast-guidance\test-cases\prevrun-test\"/>
    </mc:Choice>
  </mc:AlternateContent>
  <xr:revisionPtr revIDLastSave="0" documentId="13_ncr:1_{97E68061-0C68-49DB-A28F-E6EB74E3551C}" xr6:coauthVersionLast="45" xr6:coauthVersionMax="45" xr10:uidLastSave="{00000000-0000-0000-0000-000000000000}"/>
  <bookViews>
    <workbookView minimized="1" xWindow="9525" yWindow="165" windowWidth="10965" windowHeight="6960" xr2:uid="{00000000-000D-0000-FFFF-FFFF00000000}"/>
  </bookViews>
  <sheets>
    <sheet name="datpak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9" i="1"/>
  <c r="K38" i="1"/>
  <c r="K37" i="1"/>
  <c r="K36" i="1"/>
  <c r="K35" i="1"/>
  <c r="B40" i="1"/>
  <c r="B39" i="1"/>
  <c r="B38" i="1"/>
  <c r="B37" i="1"/>
  <c r="B36" i="1"/>
  <c r="B35" i="1"/>
  <c r="K34" i="1" l="1"/>
  <c r="K33" i="1"/>
  <c r="K32" i="1"/>
  <c r="K31" i="1"/>
  <c r="K30" i="1"/>
  <c r="K29" i="1"/>
  <c r="B34" i="1"/>
  <c r="B33" i="1"/>
  <c r="B32" i="1"/>
  <c r="B31" i="1"/>
  <c r="B30" i="1"/>
  <c r="B29" i="1"/>
  <c r="A27" i="1" l="1"/>
  <c r="K26" i="1" l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<sst xmlns="http://schemas.openxmlformats.org/spreadsheetml/2006/main" count="13" uniqueCount="13">
  <si>
    <t>datpakid</t>
  </si>
  <si>
    <t>munitid</t>
  </si>
  <si>
    <t>cycle_begin</t>
  </si>
  <si>
    <t>cycle_end</t>
  </si>
  <si>
    <t>state_end</t>
  </si>
  <si>
    <t>pr_est0_end</t>
  </si>
  <si>
    <t>pr_est1_end</t>
  </si>
  <si>
    <t>pr_est2_end</t>
  </si>
  <si>
    <t>pr_lo_end</t>
  </si>
  <si>
    <t>pr_hi_end</t>
  </si>
  <si>
    <t>test_note</t>
  </si>
  <si>
    <t>data package from outside of the cycle</t>
  </si>
  <si>
    <t>MU without an MCFG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</si>
</sst>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dumoulin/Desktop/pamf-model-midcycle/src/forecast-guidance/test-cases/midcycle-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B2">
            <v>1</v>
          </cell>
          <cell r="I2" t="str">
            <v>everything ok; no management reported in current cycle</v>
          </cell>
        </row>
        <row r="3">
          <cell r="B3">
            <v>2</v>
          </cell>
          <cell r="I3" t="str">
            <v>everything ok; translocating action compatible with planned management</v>
          </cell>
        </row>
        <row r="4">
          <cell r="B4">
            <v>3</v>
          </cell>
          <cell r="I4" t="str">
            <v>everything ok; dormant action compatible with planned management</v>
          </cell>
        </row>
        <row r="5">
          <cell r="B5">
            <v>4</v>
          </cell>
          <cell r="I5" t="str">
            <v>everything ok; all reported actions compatible with planned management</v>
          </cell>
        </row>
        <row r="6">
          <cell r="B6">
            <v>5</v>
          </cell>
          <cell r="I6" t="str">
            <v>everything ok; uncertain state</v>
          </cell>
        </row>
        <row r="7">
          <cell r="B7">
            <v>6</v>
          </cell>
          <cell r="I7" t="str">
            <v>everything ok; uncertain state</v>
          </cell>
        </row>
        <row r="8">
          <cell r="B8">
            <v>7</v>
          </cell>
          <cell r="I8" t="str">
            <v>everything ok; uncertain state</v>
          </cell>
        </row>
        <row r="9">
          <cell r="B9">
            <v>8</v>
          </cell>
          <cell r="I9" t="str">
            <v>everything ok; uncertain state</v>
          </cell>
        </row>
        <row r="10">
          <cell r="B10">
            <v>9</v>
          </cell>
          <cell r="I10" t="str">
            <v>everything ok</v>
          </cell>
        </row>
        <row r="11">
          <cell r="B11">
            <v>10</v>
          </cell>
          <cell r="I11" t="str">
            <v>everything ok</v>
          </cell>
        </row>
        <row r="12">
          <cell r="B12">
            <v>11</v>
          </cell>
          <cell r="I12" t="str">
            <v>everything ok</v>
          </cell>
        </row>
        <row r="13">
          <cell r="B13">
            <v>12</v>
          </cell>
          <cell r="I13" t="str">
            <v>everything ok</v>
          </cell>
        </row>
        <row r="14">
          <cell r="B14">
            <v>13</v>
          </cell>
          <cell r="I14" t="str">
            <v>everything ok</v>
          </cell>
        </row>
        <row r="15">
          <cell r="B15">
            <v>14</v>
          </cell>
          <cell r="I15" t="str">
            <v>everything ok</v>
          </cell>
        </row>
        <row r="16">
          <cell r="B16">
            <v>15</v>
          </cell>
          <cell r="I16" t="str">
            <v>everything ok</v>
          </cell>
        </row>
        <row r="17">
          <cell r="B17">
            <v>16</v>
          </cell>
          <cell r="I17" t="str">
            <v>everything ok</v>
          </cell>
        </row>
        <row r="18">
          <cell r="B18">
            <v>17</v>
          </cell>
          <cell r="I18" t="str">
            <v>growtaken is not empty</v>
          </cell>
        </row>
        <row r="19">
          <cell r="B19">
            <v>18</v>
          </cell>
          <cell r="I19" t="str">
            <v>no monitoring report for MU</v>
          </cell>
        </row>
        <row r="20">
          <cell r="B20">
            <v>19</v>
          </cell>
          <cell r="I20" t="str">
            <v>no monitoring report for MU in correct year</v>
          </cell>
        </row>
        <row r="21">
          <cell r="B21">
            <v>20</v>
          </cell>
          <cell r="I21" t="str">
            <v>monitoring report rejected from guidance (coordinator)</v>
          </cell>
        </row>
        <row r="22">
          <cell r="B22">
            <v>21</v>
          </cell>
          <cell r="I22" t="str">
            <v>monitoring report rejected from guidance (auto)</v>
          </cell>
        </row>
        <row r="23">
          <cell r="B23">
            <v>22</v>
          </cell>
          <cell r="I23" t="str">
            <v>planned combination incompatible with management restriction</v>
          </cell>
        </row>
        <row r="24">
          <cell r="B24">
            <v>23</v>
          </cell>
          <cell r="I24" t="str">
            <v>planned combination incompatible with reported translocating action</v>
          </cell>
        </row>
        <row r="25">
          <cell r="B25">
            <v>24</v>
          </cell>
          <cell r="I25" t="str">
            <v>planned combination incompatible with reported dormant action</v>
          </cell>
        </row>
        <row r="26">
          <cell r="B26">
            <v>25</v>
          </cell>
          <cell r="I26" t="str">
            <v>planned combination incompatible with reported translocating, dormant actions</v>
          </cell>
        </row>
        <row r="28">
          <cell r="B28">
            <v>221</v>
          </cell>
          <cell r="I28" t="str">
            <v>planned combination incompatible with management restriction</v>
          </cell>
        </row>
        <row r="29">
          <cell r="B29">
            <v>222</v>
          </cell>
          <cell r="I29" t="str">
            <v>planned combination incompatible with management restriction</v>
          </cell>
        </row>
        <row r="30">
          <cell r="B30">
            <v>223</v>
          </cell>
          <cell r="I30" t="str">
            <v>planned combination incompatible with management restriction</v>
          </cell>
        </row>
        <row r="31">
          <cell r="B31">
            <v>224</v>
          </cell>
          <cell r="I31" t="str">
            <v>planned combination incompatible with management restriction</v>
          </cell>
        </row>
        <row r="32">
          <cell r="B32">
            <v>225</v>
          </cell>
          <cell r="I32" t="str">
            <v>planned combination incompatible with management restriction</v>
          </cell>
        </row>
        <row r="33">
          <cell r="B33">
            <v>226</v>
          </cell>
          <cell r="I33" t="str">
            <v>planned combination incompatible with management restriction</v>
          </cell>
        </row>
        <row r="34">
          <cell r="B34">
            <v>201</v>
          </cell>
          <cell r="I34" t="str">
            <v>more than one management report with the same action; action is compatible with planned combination</v>
          </cell>
        </row>
        <row r="35">
          <cell r="B35">
            <v>202</v>
          </cell>
          <cell r="I35" t="str">
            <v>more than one management report with the same action; action is compatible with planned combination</v>
          </cell>
        </row>
        <row r="36">
          <cell r="B36">
            <v>203</v>
          </cell>
          <cell r="I36" t="str">
            <v>more than one management report with the same action; action is compatible with planned combination</v>
          </cell>
        </row>
        <row r="37">
          <cell r="B37">
            <v>231</v>
          </cell>
          <cell r="I37" t="str">
            <v>management reports for different actions in same phase</v>
          </cell>
        </row>
        <row r="38">
          <cell r="B38">
            <v>241</v>
          </cell>
          <cell r="I38" t="str">
            <v>management reports for different actions in same phase</v>
          </cell>
        </row>
        <row r="39">
          <cell r="B39">
            <v>251</v>
          </cell>
          <cell r="I39" t="str">
            <v>management reports for different actions in same phase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6" workbookViewId="0">
      <selection activeCell="F23" sqref="F23"/>
    </sheetView>
  </sheetViews>
  <sheetFormatPr defaultRowHeight="15" x14ac:dyDescent="0.25"/>
  <cols>
    <col min="3" max="3" width="12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f>[1]Sheet1!$B$2</f>
        <v>1</v>
      </c>
      <c r="C2">
        <v>2524</v>
      </c>
      <c r="D2">
        <v>2525</v>
      </c>
      <c r="E2">
        <v>1</v>
      </c>
      <c r="F2">
        <v>1</v>
      </c>
      <c r="G2">
        <v>0</v>
      </c>
      <c r="H2">
        <v>0</v>
      </c>
      <c r="I2">
        <v>1</v>
      </c>
      <c r="J2">
        <v>0</v>
      </c>
      <c r="K2" t="str">
        <f>[1]Sheet1!$I$2</f>
        <v>everything ok; no management reported in current cycle</v>
      </c>
    </row>
    <row r="3" spans="1:11" x14ac:dyDescent="0.25">
      <c r="A3">
        <f>A2+1</f>
        <v>2</v>
      </c>
      <c r="B3">
        <f>[1]Sheet1!$B$3</f>
        <v>2</v>
      </c>
      <c r="C3">
        <v>2524</v>
      </c>
      <c r="D3">
        <v>2525</v>
      </c>
      <c r="E3">
        <v>2</v>
      </c>
      <c r="F3">
        <v>1</v>
      </c>
      <c r="G3">
        <v>0</v>
      </c>
      <c r="H3">
        <v>0</v>
      </c>
      <c r="I3">
        <v>0</v>
      </c>
      <c r="J3">
        <v>1</v>
      </c>
      <c r="K3" t="str">
        <f>[1]Sheet1!$I$3</f>
        <v>everything ok; translocating action compatible with planned management</v>
      </c>
    </row>
    <row r="4" spans="1:11" x14ac:dyDescent="0.25">
      <c r="A4">
        <f t="shared" ref="A4:A27" si="0">A3+1</f>
        <v>3</v>
      </c>
      <c r="B4">
        <f>[1]Sheet1!$B$4</f>
        <v>3</v>
      </c>
      <c r="C4">
        <v>2524</v>
      </c>
      <c r="D4">
        <v>2525</v>
      </c>
      <c r="E4">
        <v>3</v>
      </c>
      <c r="F4">
        <v>0</v>
      </c>
      <c r="G4">
        <v>1</v>
      </c>
      <c r="H4">
        <v>0</v>
      </c>
      <c r="I4">
        <v>1</v>
      </c>
      <c r="J4">
        <v>0</v>
      </c>
      <c r="K4" t="str">
        <f>[1]Sheet1!$I$4</f>
        <v>everything ok; dormant action compatible with planned management</v>
      </c>
    </row>
    <row r="5" spans="1:11" x14ac:dyDescent="0.25">
      <c r="A5">
        <f t="shared" si="0"/>
        <v>4</v>
      </c>
      <c r="B5">
        <f>[1]Sheet1!$B$5</f>
        <v>4</v>
      </c>
      <c r="C5">
        <v>2524</v>
      </c>
      <c r="D5">
        <v>2525</v>
      </c>
      <c r="E5">
        <v>4</v>
      </c>
      <c r="F5">
        <v>0</v>
      </c>
      <c r="G5">
        <v>1</v>
      </c>
      <c r="H5">
        <v>0</v>
      </c>
      <c r="I5">
        <v>0</v>
      </c>
      <c r="J5">
        <v>1</v>
      </c>
      <c r="K5" t="str">
        <f>[1]Sheet1!$I$5</f>
        <v>everything ok; all reported actions compatible with planned management</v>
      </c>
    </row>
    <row r="6" spans="1:11" x14ac:dyDescent="0.25">
      <c r="A6">
        <f t="shared" si="0"/>
        <v>5</v>
      </c>
      <c r="B6">
        <f>[1]Sheet1!$B$6</f>
        <v>5</v>
      </c>
      <c r="C6">
        <v>2524</v>
      </c>
      <c r="D6">
        <v>2525</v>
      </c>
      <c r="E6">
        <v>5</v>
      </c>
      <c r="F6">
        <v>0</v>
      </c>
      <c r="G6">
        <v>0</v>
      </c>
      <c r="H6">
        <v>1</v>
      </c>
      <c r="I6">
        <v>0.8</v>
      </c>
      <c r="J6">
        <v>0.2</v>
      </c>
      <c r="K6" t="str">
        <f>[1]Sheet1!$I$6</f>
        <v>everything ok; uncertain state</v>
      </c>
    </row>
    <row r="7" spans="1:11" x14ac:dyDescent="0.25">
      <c r="A7">
        <f t="shared" si="0"/>
        <v>6</v>
      </c>
      <c r="B7">
        <f>[1]Sheet1!$B$7</f>
        <v>6</v>
      </c>
      <c r="C7">
        <v>2524</v>
      </c>
      <c r="D7">
        <v>2525</v>
      </c>
      <c r="E7">
        <v>6</v>
      </c>
      <c r="F7">
        <v>0</v>
      </c>
      <c r="G7">
        <v>0</v>
      </c>
      <c r="H7">
        <v>1</v>
      </c>
      <c r="I7">
        <v>0.2</v>
      </c>
      <c r="J7">
        <v>0.8</v>
      </c>
      <c r="K7" t="str">
        <f>[1]Sheet1!$I$7</f>
        <v>everything ok; uncertain state</v>
      </c>
    </row>
    <row r="8" spans="1:11" x14ac:dyDescent="0.25">
      <c r="A8">
        <f t="shared" si="0"/>
        <v>7</v>
      </c>
      <c r="B8">
        <f>[1]Sheet1!$B$8</f>
        <v>7</v>
      </c>
      <c r="C8">
        <v>2524</v>
      </c>
      <c r="D8">
        <v>2525</v>
      </c>
      <c r="E8">
        <v>1</v>
      </c>
      <c r="F8">
        <v>1</v>
      </c>
      <c r="G8">
        <v>0</v>
      </c>
      <c r="H8">
        <v>0</v>
      </c>
      <c r="I8">
        <v>0.6</v>
      </c>
      <c r="J8">
        <v>0.4</v>
      </c>
      <c r="K8" t="str">
        <f>[1]Sheet1!$I$8</f>
        <v>everything ok; uncertain state</v>
      </c>
    </row>
    <row r="9" spans="1:11" x14ac:dyDescent="0.25">
      <c r="A9">
        <f t="shared" si="0"/>
        <v>8</v>
      </c>
      <c r="B9">
        <f>[1]Sheet1!$B$9</f>
        <v>8</v>
      </c>
      <c r="C9">
        <v>2524</v>
      </c>
      <c r="D9">
        <v>2525</v>
      </c>
      <c r="E9">
        <v>2</v>
      </c>
      <c r="F9">
        <v>1</v>
      </c>
      <c r="G9">
        <v>0</v>
      </c>
      <c r="H9">
        <v>0</v>
      </c>
      <c r="I9">
        <v>0.4</v>
      </c>
      <c r="J9">
        <v>0.6</v>
      </c>
      <c r="K9" t="str">
        <f>[1]Sheet1!$I$9</f>
        <v>everything ok; uncertain state</v>
      </c>
    </row>
    <row r="10" spans="1:11" x14ac:dyDescent="0.25">
      <c r="A10">
        <f t="shared" si="0"/>
        <v>9</v>
      </c>
      <c r="B10">
        <f>[1]Sheet1!$B$10</f>
        <v>9</v>
      </c>
      <c r="C10">
        <v>2524</v>
      </c>
      <c r="D10">
        <v>2525</v>
      </c>
      <c r="E10">
        <v>3</v>
      </c>
      <c r="F10">
        <v>0</v>
      </c>
      <c r="G10">
        <v>1</v>
      </c>
      <c r="H10">
        <v>0</v>
      </c>
      <c r="I10">
        <v>1</v>
      </c>
      <c r="J10">
        <v>0</v>
      </c>
      <c r="K10" t="str">
        <f>[1]Sheet1!$I$10</f>
        <v>everything ok</v>
      </c>
    </row>
    <row r="11" spans="1:11" x14ac:dyDescent="0.25">
      <c r="A11">
        <f t="shared" si="0"/>
        <v>10</v>
      </c>
      <c r="B11">
        <f>[1]Sheet1!$B$11</f>
        <v>10</v>
      </c>
      <c r="C11">
        <v>2524</v>
      </c>
      <c r="D11">
        <v>2525</v>
      </c>
      <c r="E11">
        <v>4</v>
      </c>
      <c r="F11">
        <v>0</v>
      </c>
      <c r="G11">
        <v>1</v>
      </c>
      <c r="H11">
        <v>0</v>
      </c>
      <c r="I11">
        <v>0</v>
      </c>
      <c r="J11">
        <v>1</v>
      </c>
      <c r="K11" t="str">
        <f>[1]Sheet1!$I$11</f>
        <v>everything ok</v>
      </c>
    </row>
    <row r="12" spans="1:11" x14ac:dyDescent="0.25">
      <c r="A12">
        <f t="shared" si="0"/>
        <v>11</v>
      </c>
      <c r="B12">
        <f>[1]Sheet1!$B$12</f>
        <v>11</v>
      </c>
      <c r="C12">
        <v>2524</v>
      </c>
      <c r="D12">
        <v>2525</v>
      </c>
      <c r="E12">
        <v>5</v>
      </c>
      <c r="F12">
        <v>0</v>
      </c>
      <c r="G12">
        <v>0</v>
      </c>
      <c r="H12">
        <v>1</v>
      </c>
      <c r="I12">
        <v>1</v>
      </c>
      <c r="J12">
        <v>0</v>
      </c>
      <c r="K12" t="str">
        <f>[1]Sheet1!$I$12</f>
        <v>everything ok</v>
      </c>
    </row>
    <row r="13" spans="1:11" x14ac:dyDescent="0.25">
      <c r="A13">
        <f t="shared" si="0"/>
        <v>12</v>
      </c>
      <c r="B13">
        <f>[1]Sheet1!$B$13</f>
        <v>12</v>
      </c>
      <c r="C13">
        <v>2524</v>
      </c>
      <c r="D13">
        <v>2525</v>
      </c>
      <c r="E13">
        <v>6</v>
      </c>
      <c r="F13">
        <v>0</v>
      </c>
      <c r="G13">
        <v>0</v>
      </c>
      <c r="H13">
        <v>1</v>
      </c>
      <c r="I13">
        <v>0</v>
      </c>
      <c r="J13">
        <v>1</v>
      </c>
      <c r="K13" t="str">
        <f>[1]Sheet1!$I$13</f>
        <v>everything ok</v>
      </c>
    </row>
    <row r="14" spans="1:11" x14ac:dyDescent="0.25">
      <c r="A14">
        <f t="shared" si="0"/>
        <v>13</v>
      </c>
      <c r="B14">
        <f>[1]Sheet1!$B$14</f>
        <v>13</v>
      </c>
      <c r="C14">
        <v>2524</v>
      </c>
      <c r="D14">
        <v>2525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 t="str">
        <f>[1]Sheet1!$I$14</f>
        <v>everything ok</v>
      </c>
    </row>
    <row r="15" spans="1:11" x14ac:dyDescent="0.25">
      <c r="A15">
        <f t="shared" si="0"/>
        <v>14</v>
      </c>
      <c r="B15">
        <f>[1]Sheet1!$B$15</f>
        <v>14</v>
      </c>
      <c r="C15">
        <v>2524</v>
      </c>
      <c r="D15">
        <v>2525</v>
      </c>
      <c r="E15">
        <v>2</v>
      </c>
      <c r="F15">
        <v>1</v>
      </c>
      <c r="G15">
        <v>0</v>
      </c>
      <c r="H15">
        <v>0</v>
      </c>
      <c r="I15">
        <v>0</v>
      </c>
      <c r="J15">
        <v>1</v>
      </c>
      <c r="K15" t="str">
        <f>[1]Sheet1!$I$15</f>
        <v>everything ok</v>
      </c>
    </row>
    <row r="16" spans="1:11" x14ac:dyDescent="0.25">
      <c r="A16">
        <f t="shared" si="0"/>
        <v>15</v>
      </c>
      <c r="B16">
        <f>[1]Sheet1!$B$16</f>
        <v>15</v>
      </c>
      <c r="C16">
        <v>2524</v>
      </c>
      <c r="D16">
        <v>2525</v>
      </c>
      <c r="E16">
        <v>3</v>
      </c>
      <c r="F16">
        <v>0</v>
      </c>
      <c r="G16">
        <v>1</v>
      </c>
      <c r="H16">
        <v>0</v>
      </c>
      <c r="I16">
        <v>1</v>
      </c>
      <c r="J16">
        <v>0</v>
      </c>
      <c r="K16" t="str">
        <f>[1]Sheet1!$I$16</f>
        <v>everything ok</v>
      </c>
    </row>
    <row r="17" spans="1:11" x14ac:dyDescent="0.25">
      <c r="A17">
        <f t="shared" si="0"/>
        <v>16</v>
      </c>
      <c r="B17">
        <f>[1]Sheet1!$B$17</f>
        <v>16</v>
      </c>
      <c r="C17">
        <v>2524</v>
      </c>
      <c r="D17">
        <v>2525</v>
      </c>
      <c r="E17">
        <v>4</v>
      </c>
      <c r="F17">
        <v>0</v>
      </c>
      <c r="G17">
        <v>1</v>
      </c>
      <c r="H17">
        <v>0</v>
      </c>
      <c r="I17">
        <v>0</v>
      </c>
      <c r="J17">
        <v>1</v>
      </c>
      <c r="K17" t="str">
        <f>[1]Sheet1!$I$17</f>
        <v>everything ok</v>
      </c>
    </row>
    <row r="18" spans="1:11" x14ac:dyDescent="0.25">
      <c r="A18">
        <f t="shared" si="0"/>
        <v>17</v>
      </c>
      <c r="B18">
        <f>[1]Sheet1!$B$18</f>
        <v>17</v>
      </c>
      <c r="C18">
        <v>2524</v>
      </c>
      <c r="D18">
        <v>2525</v>
      </c>
      <c r="E18">
        <v>5</v>
      </c>
      <c r="F18">
        <v>0</v>
      </c>
      <c r="G18">
        <v>0</v>
      </c>
      <c r="H18">
        <v>1</v>
      </c>
      <c r="I18">
        <v>1</v>
      </c>
      <c r="J18">
        <v>0</v>
      </c>
      <c r="K18" t="str">
        <f>[1]Sheet1!$I$18</f>
        <v>growtaken is not empty</v>
      </c>
    </row>
    <row r="19" spans="1:11" x14ac:dyDescent="0.25">
      <c r="A19">
        <f t="shared" si="0"/>
        <v>18</v>
      </c>
      <c r="B19">
        <f>[1]Sheet1!$B$19</f>
        <v>18</v>
      </c>
      <c r="C19">
        <v>2524</v>
      </c>
      <c r="D19">
        <v>2525</v>
      </c>
      <c r="E19">
        <v>6</v>
      </c>
      <c r="F19">
        <v>0</v>
      </c>
      <c r="G19">
        <v>0</v>
      </c>
      <c r="H19">
        <v>1</v>
      </c>
      <c r="I19">
        <v>0</v>
      </c>
      <c r="J19">
        <v>1</v>
      </c>
      <c r="K19" t="str">
        <f>[1]Sheet1!$I$19</f>
        <v>no monitoring report for MU</v>
      </c>
    </row>
    <row r="20" spans="1:11" x14ac:dyDescent="0.25">
      <c r="A20">
        <f t="shared" si="0"/>
        <v>19</v>
      </c>
      <c r="B20">
        <f>[1]Sheet1!$B$20</f>
        <v>19</v>
      </c>
      <c r="C20">
        <v>2524</v>
      </c>
      <c r="D20">
        <v>2525</v>
      </c>
      <c r="E20">
        <v>1</v>
      </c>
      <c r="F20">
        <v>1</v>
      </c>
      <c r="G20">
        <v>0</v>
      </c>
      <c r="H20">
        <v>0</v>
      </c>
      <c r="I20">
        <v>1</v>
      </c>
      <c r="J20">
        <v>0</v>
      </c>
      <c r="K20" t="str">
        <f>[1]Sheet1!$I$20</f>
        <v>no monitoring report for MU in correct year</v>
      </c>
    </row>
    <row r="21" spans="1:11" x14ac:dyDescent="0.25">
      <c r="A21">
        <f t="shared" si="0"/>
        <v>20</v>
      </c>
      <c r="B21">
        <f>[1]Sheet1!$B$21</f>
        <v>20</v>
      </c>
      <c r="C21">
        <v>2524</v>
      </c>
      <c r="D21">
        <v>2525</v>
      </c>
      <c r="E21">
        <v>2</v>
      </c>
      <c r="F21">
        <v>1</v>
      </c>
      <c r="G21">
        <v>0</v>
      </c>
      <c r="H21">
        <v>0</v>
      </c>
      <c r="I21">
        <v>0</v>
      </c>
      <c r="J21">
        <v>1</v>
      </c>
      <c r="K21" t="str">
        <f>[1]Sheet1!$I$21</f>
        <v>monitoring report rejected from guidance (coordinator)</v>
      </c>
    </row>
    <row r="22" spans="1:11" x14ac:dyDescent="0.25">
      <c r="A22">
        <f t="shared" si="0"/>
        <v>21</v>
      </c>
      <c r="B22">
        <f>[1]Sheet1!$B$22</f>
        <v>21</v>
      </c>
      <c r="C22">
        <v>2524</v>
      </c>
      <c r="D22">
        <v>2525</v>
      </c>
      <c r="E22">
        <v>3</v>
      </c>
      <c r="F22">
        <v>0</v>
      </c>
      <c r="G22">
        <v>1</v>
      </c>
      <c r="H22">
        <v>0</v>
      </c>
      <c r="I22">
        <v>1</v>
      </c>
      <c r="J22">
        <v>0</v>
      </c>
      <c r="K22" t="str">
        <f>[1]Sheet1!$I$22</f>
        <v>monitoring report rejected from guidance (auto)</v>
      </c>
    </row>
    <row r="23" spans="1:11" x14ac:dyDescent="0.25">
      <c r="A23">
        <f t="shared" si="0"/>
        <v>22</v>
      </c>
      <c r="B23">
        <f>[1]Sheet1!$B$23</f>
        <v>22</v>
      </c>
      <c r="C23">
        <v>2524</v>
      </c>
      <c r="D23">
        <v>2525</v>
      </c>
      <c r="E23">
        <v>4</v>
      </c>
      <c r="F23">
        <v>0</v>
      </c>
      <c r="G23">
        <v>1</v>
      </c>
      <c r="H23">
        <v>0</v>
      </c>
      <c r="I23">
        <v>0</v>
      </c>
      <c r="J23">
        <v>1</v>
      </c>
      <c r="K23" t="str">
        <f>[1]Sheet1!$I$23</f>
        <v>planned combination incompatible with management restriction</v>
      </c>
    </row>
    <row r="24" spans="1:11" x14ac:dyDescent="0.25">
      <c r="A24">
        <f t="shared" si="0"/>
        <v>23</v>
      </c>
      <c r="B24">
        <f>[1]Sheet1!$B$24</f>
        <v>23</v>
      </c>
      <c r="C24">
        <v>2524</v>
      </c>
      <c r="D24">
        <v>2525</v>
      </c>
      <c r="E24">
        <v>5</v>
      </c>
      <c r="F24">
        <v>0</v>
      </c>
      <c r="G24">
        <v>0</v>
      </c>
      <c r="H24">
        <v>1</v>
      </c>
      <c r="I24">
        <v>1</v>
      </c>
      <c r="J24">
        <v>0</v>
      </c>
      <c r="K24" t="str">
        <f>[1]Sheet1!$I$24</f>
        <v>planned combination incompatible with reported translocating action</v>
      </c>
    </row>
    <row r="25" spans="1:11" x14ac:dyDescent="0.25">
      <c r="A25">
        <f t="shared" si="0"/>
        <v>24</v>
      </c>
      <c r="B25">
        <f>[1]Sheet1!$B$25</f>
        <v>24</v>
      </c>
      <c r="C25">
        <v>2524</v>
      </c>
      <c r="D25">
        <v>2525</v>
      </c>
      <c r="E25">
        <v>6</v>
      </c>
      <c r="F25">
        <v>0</v>
      </c>
      <c r="G25">
        <v>0</v>
      </c>
      <c r="H25">
        <v>1</v>
      </c>
      <c r="I25">
        <v>0</v>
      </c>
      <c r="J25">
        <v>1</v>
      </c>
      <c r="K25" t="str">
        <f>[1]Sheet1!$I$25</f>
        <v>planned combination incompatible with reported dormant action</v>
      </c>
    </row>
    <row r="26" spans="1:11" x14ac:dyDescent="0.25">
      <c r="A26">
        <f t="shared" si="0"/>
        <v>25</v>
      </c>
      <c r="B26">
        <f>[1]Sheet1!$B$26</f>
        <v>25</v>
      </c>
      <c r="C26">
        <v>2524</v>
      </c>
      <c r="D26">
        <v>2525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 t="str">
        <f>[1]Sheet1!$I$26</f>
        <v>planned combination incompatible with reported translocating, dormant actions</v>
      </c>
    </row>
    <row r="27" spans="1:11" x14ac:dyDescent="0.25">
      <c r="A27">
        <f t="shared" si="0"/>
        <v>26</v>
      </c>
      <c r="B27">
        <v>1</v>
      </c>
      <c r="C27">
        <v>2523</v>
      </c>
      <c r="D27">
        <v>2524</v>
      </c>
      <c r="E27">
        <v>1</v>
      </c>
      <c r="F27">
        <v>1</v>
      </c>
      <c r="G27">
        <v>0</v>
      </c>
      <c r="H27">
        <v>0</v>
      </c>
      <c r="I27">
        <v>1</v>
      </c>
      <c r="J27">
        <v>0</v>
      </c>
      <c r="K27" t="s">
        <v>11</v>
      </c>
    </row>
    <row r="28" spans="1:11" x14ac:dyDescent="0.25">
      <c r="A28">
        <v>27</v>
      </c>
      <c r="B28">
        <v>26</v>
      </c>
      <c r="C28">
        <v>2524</v>
      </c>
      <c r="D28">
        <v>2525</v>
      </c>
      <c r="E28">
        <v>1</v>
      </c>
      <c r="F28">
        <v>1</v>
      </c>
      <c r="G28">
        <v>0</v>
      </c>
      <c r="H28">
        <v>0</v>
      </c>
      <c r="I28">
        <v>1</v>
      </c>
      <c r="J28">
        <v>0</v>
      </c>
      <c r="K28" t="s">
        <v>12</v>
      </c>
    </row>
    <row r="29" spans="1:11" x14ac:dyDescent="0.25">
      <c r="A29">
        <v>28</v>
      </c>
      <c r="B29">
        <f>[1]Sheet1!$B$28</f>
        <v>221</v>
      </c>
      <c r="C29">
        <v>2524</v>
      </c>
      <c r="D29">
        <v>2525</v>
      </c>
      <c r="E29">
        <v>2</v>
      </c>
      <c r="F29">
        <v>1</v>
      </c>
      <c r="G29">
        <v>0</v>
      </c>
      <c r="H29">
        <v>0</v>
      </c>
      <c r="I29">
        <v>0</v>
      </c>
      <c r="J29">
        <v>1</v>
      </c>
      <c r="K29" t="str">
        <f>[1]Sheet1!$I$28</f>
        <v>planned combination incompatible with management restriction</v>
      </c>
    </row>
    <row r="30" spans="1:11" x14ac:dyDescent="0.25">
      <c r="A30">
        <v>29</v>
      </c>
      <c r="B30">
        <f>[1]Sheet1!$B$29</f>
        <v>222</v>
      </c>
      <c r="C30">
        <v>2524</v>
      </c>
      <c r="D30">
        <v>2525</v>
      </c>
      <c r="E30">
        <v>3</v>
      </c>
      <c r="F30">
        <v>0</v>
      </c>
      <c r="G30">
        <v>1</v>
      </c>
      <c r="H30">
        <v>0</v>
      </c>
      <c r="I30">
        <v>1</v>
      </c>
      <c r="J30">
        <v>0</v>
      </c>
      <c r="K30" t="str">
        <f>[1]Sheet1!$I$29</f>
        <v>planned combination incompatible with management restriction</v>
      </c>
    </row>
    <row r="31" spans="1:11" x14ac:dyDescent="0.25">
      <c r="A31">
        <v>30</v>
      </c>
      <c r="B31">
        <f>[1]Sheet1!$B$30</f>
        <v>223</v>
      </c>
      <c r="C31">
        <v>2524</v>
      </c>
      <c r="D31">
        <v>2525</v>
      </c>
      <c r="E31">
        <v>4</v>
      </c>
      <c r="F31">
        <v>0</v>
      </c>
      <c r="G31">
        <v>1</v>
      </c>
      <c r="H31">
        <v>0</v>
      </c>
      <c r="I31">
        <v>0</v>
      </c>
      <c r="J31">
        <v>1</v>
      </c>
      <c r="K31" t="str">
        <f>[1]Sheet1!$I$30</f>
        <v>planned combination incompatible with management restriction</v>
      </c>
    </row>
    <row r="32" spans="1:11" x14ac:dyDescent="0.25">
      <c r="A32">
        <v>31</v>
      </c>
      <c r="B32">
        <f>[1]Sheet1!$B$31</f>
        <v>224</v>
      </c>
      <c r="C32">
        <v>2524</v>
      </c>
      <c r="D32">
        <v>2525</v>
      </c>
      <c r="E32">
        <v>5</v>
      </c>
      <c r="F32">
        <v>0</v>
      </c>
      <c r="G32">
        <v>0</v>
      </c>
      <c r="H32">
        <v>1</v>
      </c>
      <c r="I32">
        <v>1</v>
      </c>
      <c r="J32">
        <v>0</v>
      </c>
      <c r="K32" t="str">
        <f>[1]Sheet1!$I$31</f>
        <v>planned combination incompatible with management restriction</v>
      </c>
    </row>
    <row r="33" spans="1:11" x14ac:dyDescent="0.25">
      <c r="A33">
        <v>32</v>
      </c>
      <c r="B33">
        <f>[1]Sheet1!$B$32</f>
        <v>225</v>
      </c>
      <c r="C33">
        <v>2524</v>
      </c>
      <c r="D33">
        <v>2525</v>
      </c>
      <c r="E33">
        <v>6</v>
      </c>
      <c r="F33">
        <v>0</v>
      </c>
      <c r="G33">
        <v>0</v>
      </c>
      <c r="H33">
        <v>1</v>
      </c>
      <c r="I33">
        <v>0</v>
      </c>
      <c r="J33">
        <v>1</v>
      </c>
      <c r="K33" t="str">
        <f>[1]Sheet1!$I$32</f>
        <v>planned combination incompatible with management restriction</v>
      </c>
    </row>
    <row r="34" spans="1:11" x14ac:dyDescent="0.25">
      <c r="A34">
        <v>33</v>
      </c>
      <c r="B34">
        <f>[1]Sheet1!$B$33</f>
        <v>226</v>
      </c>
      <c r="C34">
        <v>2524</v>
      </c>
      <c r="D34">
        <v>2525</v>
      </c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  <c r="K34" t="str">
        <f>[1]Sheet1!$I$33</f>
        <v>planned combination incompatible with management restriction</v>
      </c>
    </row>
    <row r="35" spans="1:11" x14ac:dyDescent="0.25">
      <c r="A35">
        <v>34</v>
      </c>
      <c r="B35">
        <f>[1]Sheet1!$B$34</f>
        <v>201</v>
      </c>
      <c r="C35">
        <v>2524</v>
      </c>
      <c r="D35">
        <v>2525</v>
      </c>
      <c r="E35">
        <v>2</v>
      </c>
      <c r="F35">
        <v>1</v>
      </c>
      <c r="G35">
        <v>0</v>
      </c>
      <c r="H35">
        <v>0</v>
      </c>
      <c r="I35">
        <v>0</v>
      </c>
      <c r="J35">
        <v>1</v>
      </c>
      <c r="K35" t="str">
        <f>[1]Sheet1!$I$34</f>
        <v>more than one management report with the same action; action is compatible with planned combination</v>
      </c>
    </row>
    <row r="36" spans="1:11" x14ac:dyDescent="0.25">
      <c r="A36">
        <v>35</v>
      </c>
      <c r="B36">
        <f>[1]Sheet1!$B$35</f>
        <v>202</v>
      </c>
      <c r="C36">
        <v>2524</v>
      </c>
      <c r="D36">
        <v>2525</v>
      </c>
      <c r="E36">
        <v>3</v>
      </c>
      <c r="F36">
        <v>0</v>
      </c>
      <c r="G36">
        <v>1</v>
      </c>
      <c r="H36">
        <v>0</v>
      </c>
      <c r="I36">
        <v>1</v>
      </c>
      <c r="J36">
        <v>0</v>
      </c>
      <c r="K36" t="str">
        <f>[1]Sheet1!$I$35</f>
        <v>more than one management report with the same action; action is compatible with planned combination</v>
      </c>
    </row>
    <row r="37" spans="1:11" x14ac:dyDescent="0.25">
      <c r="A37">
        <v>36</v>
      </c>
      <c r="B37">
        <f>[1]Sheet1!$B$36</f>
        <v>203</v>
      </c>
      <c r="C37">
        <v>2524</v>
      </c>
      <c r="D37">
        <v>2525</v>
      </c>
      <c r="E37">
        <v>4</v>
      </c>
      <c r="F37">
        <v>0</v>
      </c>
      <c r="G37">
        <v>1</v>
      </c>
      <c r="H37">
        <v>0</v>
      </c>
      <c r="I37">
        <v>0</v>
      </c>
      <c r="J37">
        <v>1</v>
      </c>
      <c r="K37" t="str">
        <f>[1]Sheet1!$I$36</f>
        <v>more than one management report with the same action; action is compatible with planned combination</v>
      </c>
    </row>
    <row r="38" spans="1:11" x14ac:dyDescent="0.25">
      <c r="A38">
        <v>37</v>
      </c>
      <c r="B38">
        <f>[1]Sheet1!$B$37</f>
        <v>231</v>
      </c>
      <c r="C38">
        <v>2524</v>
      </c>
      <c r="D38">
        <v>2525</v>
      </c>
      <c r="E38">
        <v>5</v>
      </c>
      <c r="F38">
        <v>0</v>
      </c>
      <c r="G38">
        <v>0</v>
      </c>
      <c r="H38">
        <v>1</v>
      </c>
      <c r="I38">
        <v>1</v>
      </c>
      <c r="J38">
        <v>0</v>
      </c>
      <c r="K38" t="str">
        <f>[1]Sheet1!$I$37</f>
        <v>management reports for different actions in same phase</v>
      </c>
    </row>
    <row r="39" spans="1:11" x14ac:dyDescent="0.25">
      <c r="A39">
        <v>38</v>
      </c>
      <c r="B39">
        <f>[1]Sheet1!$B$38</f>
        <v>241</v>
      </c>
      <c r="C39">
        <v>2524</v>
      </c>
      <c r="D39">
        <v>2525</v>
      </c>
      <c r="E39">
        <v>6</v>
      </c>
      <c r="F39">
        <v>0</v>
      </c>
      <c r="G39">
        <v>0</v>
      </c>
      <c r="H39">
        <v>1</v>
      </c>
      <c r="I39">
        <v>0</v>
      </c>
      <c r="J39">
        <v>1</v>
      </c>
      <c r="K39" t="str">
        <f>[1]Sheet1!$I$38</f>
        <v>management reports for different actions in same phase</v>
      </c>
    </row>
    <row r="40" spans="1:11" x14ac:dyDescent="0.25">
      <c r="A40">
        <v>39</v>
      </c>
      <c r="B40">
        <f>[1]Sheet1!$B$39</f>
        <v>251</v>
      </c>
      <c r="C40">
        <v>2524</v>
      </c>
      <c r="D40">
        <v>2525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 t="str">
        <f>[1]Sheet1!$I$39</f>
        <v>management reports for different actions in same phase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datpak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2020-12-09T23:03:04Z</dcterms:created>
  <dcterms:modified xsi:type="dcterms:W3CDTF">2021-01-06T22:55:40Z</dcterms:modified>
</cp:coreProperties>
</file>