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dumoulin\Desktop\pamf-model-midcycle\src\forecast-guidance\test-cases\prevrun-test\"/>
    </mc:Choice>
  </mc:AlternateContent>
  <xr:revisionPtr revIDLastSave="0" documentId="13_ncr:1_{843EE5A1-3365-40DB-883A-180A0D519020}" xr6:coauthVersionLast="45" xr6:coauthVersionMax="45" xr10:uidLastSave="{00000000-0000-0000-0000-000000000000}"/>
  <bookViews>
    <workbookView xWindow="-19260" yWindow="2685" windowWidth="15375" windowHeight="7875" xr2:uid="{00000000-000D-0000-FFFF-FFFF00000000}"/>
  </bookViews>
  <sheets>
    <sheet name="monitor_issues" sheetId="1" r:id="rId1"/>
  </sheets>
  <externalReferences>
    <externalReference r:id="rId2"/>
    <externalReference r:id="rId3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39" i="1" l="1"/>
  <c r="H38" i="1"/>
  <c r="H37" i="1"/>
  <c r="H36" i="1"/>
  <c r="H35" i="1"/>
  <c r="H34" i="1"/>
  <c r="B39" i="1"/>
  <c r="B38" i="1"/>
  <c r="B37" i="1"/>
  <c r="B36" i="1"/>
  <c r="B35" i="1"/>
  <c r="B34" i="1"/>
  <c r="H33" i="1" l="1"/>
  <c r="H32" i="1"/>
  <c r="H31" i="1"/>
  <c r="H30" i="1"/>
  <c r="H29" i="1"/>
  <c r="H28" i="1"/>
  <c r="B33" i="1"/>
  <c r="B32" i="1"/>
  <c r="B31" i="1"/>
  <c r="B30" i="1"/>
  <c r="B29" i="1"/>
  <c r="B28" i="1"/>
  <c r="H25" i="1" l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  <c r="A20" i="1" l="1"/>
  <c r="A21" i="1" s="1"/>
  <c r="A22" i="1" s="1"/>
  <c r="A23" i="1" s="1"/>
  <c r="A24" i="1" s="1"/>
  <c r="A25" i="1" s="1"/>
  <c r="A26" i="1" s="1"/>
</calcChain>
</file>

<file path=xl/sharedStrings.xml><?xml version="1.0" encoding="utf-8"?>
<sst xmlns="http://schemas.openxmlformats.org/spreadsheetml/2006/main" count="86" uniqueCount="11">
  <si>
    <t>monitorid</t>
  </si>
  <si>
    <t>munitid</t>
  </si>
  <si>
    <t>cycle_end</t>
  </si>
  <si>
    <t>run_date</t>
  </si>
  <si>
    <t>monitor_year</t>
  </si>
  <si>
    <t>coordreject_guid</t>
  </si>
  <si>
    <t>autoreject_guid</t>
  </si>
  <si>
    <t>NA</t>
  </si>
  <si>
    <t>test_note</t>
  </si>
  <si>
    <t>MU without an MCFG request</t>
  </si>
  <si>
    <t>MU also has monitoring report is from outside of the current cycle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</si>
</sst>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dumoulin/Desktop/pamf-model-midcycle/src/forecast-guidance/test-cases/midcycle-test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nrol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>
        <row r="2">
          <cell r="B2">
            <v>1</v>
          </cell>
          <cell r="I2" t="str">
            <v>everything ok; no management reported in current cycle</v>
          </cell>
        </row>
        <row r="3">
          <cell r="B3">
            <v>2</v>
          </cell>
          <cell r="I3" t="str">
            <v>everything ok; translocating action compatible with planned management</v>
          </cell>
        </row>
        <row r="4">
          <cell r="B4">
            <v>3</v>
          </cell>
          <cell r="I4" t="str">
            <v>everything ok; dormant action compatible with planned management</v>
          </cell>
        </row>
        <row r="5">
          <cell r="B5">
            <v>4</v>
          </cell>
          <cell r="I5" t="str">
            <v>everything ok; all reported actions compatible with planned management</v>
          </cell>
        </row>
        <row r="6">
          <cell r="B6">
            <v>5</v>
          </cell>
          <cell r="I6" t="str">
            <v>everything ok; uncertain state</v>
          </cell>
        </row>
        <row r="7">
          <cell r="B7">
            <v>6</v>
          </cell>
          <cell r="I7" t="str">
            <v>everything ok; uncertain state</v>
          </cell>
        </row>
        <row r="8">
          <cell r="B8">
            <v>7</v>
          </cell>
          <cell r="I8" t="str">
            <v>everything ok; uncertain state</v>
          </cell>
        </row>
        <row r="9">
          <cell r="B9">
            <v>8</v>
          </cell>
          <cell r="I9" t="str">
            <v>everything ok; uncertain state</v>
          </cell>
        </row>
        <row r="10">
          <cell r="B10">
            <v>9</v>
          </cell>
          <cell r="I10" t="str">
            <v>everything ok</v>
          </cell>
        </row>
        <row r="11">
          <cell r="B11">
            <v>10</v>
          </cell>
          <cell r="I11" t="str">
            <v>everything ok</v>
          </cell>
        </row>
        <row r="12">
          <cell r="B12">
            <v>11</v>
          </cell>
          <cell r="I12" t="str">
            <v>everything ok</v>
          </cell>
        </row>
        <row r="13">
          <cell r="B13">
            <v>12</v>
          </cell>
          <cell r="I13" t="str">
            <v>everything ok</v>
          </cell>
        </row>
        <row r="14">
          <cell r="B14">
            <v>13</v>
          </cell>
          <cell r="I14" t="str">
            <v>everything ok</v>
          </cell>
        </row>
        <row r="15">
          <cell r="B15">
            <v>14</v>
          </cell>
          <cell r="I15" t="str">
            <v>everything ok</v>
          </cell>
        </row>
        <row r="16">
          <cell r="B16">
            <v>15</v>
          </cell>
          <cell r="I16" t="str">
            <v>everything ok</v>
          </cell>
        </row>
        <row r="17">
          <cell r="B17">
            <v>16</v>
          </cell>
          <cell r="I17" t="str">
            <v>everything ok</v>
          </cell>
        </row>
        <row r="18">
          <cell r="B18">
            <v>17</v>
          </cell>
          <cell r="I18" t="str">
            <v>growtaken is not empty</v>
          </cell>
        </row>
        <row r="20">
          <cell r="B20">
            <v>19</v>
          </cell>
          <cell r="I20" t="str">
            <v>no monitoring report for MU in correct year</v>
          </cell>
        </row>
        <row r="21">
          <cell r="B21">
            <v>20</v>
          </cell>
          <cell r="I21" t="str">
            <v>monitoring report rejected from guidance (coordinator)</v>
          </cell>
        </row>
        <row r="22">
          <cell r="B22">
            <v>21</v>
          </cell>
          <cell r="I22" t="str">
            <v>monitoring report rejected from guidance (auto)</v>
          </cell>
        </row>
        <row r="23">
          <cell r="B23">
            <v>22</v>
          </cell>
          <cell r="I23" t="str">
            <v>planned combination incompatible with management restriction</v>
          </cell>
        </row>
        <row r="24">
          <cell r="B24">
            <v>23</v>
          </cell>
          <cell r="I24" t="str">
            <v>planned combination incompatible with reported translocating action</v>
          </cell>
        </row>
        <row r="25">
          <cell r="B25">
            <v>24</v>
          </cell>
          <cell r="I25" t="str">
            <v>planned combination incompatible with reported dormant action</v>
          </cell>
        </row>
        <row r="26">
          <cell r="B26">
            <v>25</v>
          </cell>
          <cell r="I26" t="str">
            <v>planned combination incompatible with reported translocating, dormant actions</v>
          </cell>
        </row>
        <row r="34">
          <cell r="B34">
            <v>201</v>
          </cell>
          <cell r="I34" t="str">
            <v>more than one management report with the same action; action is compatible with planned combination</v>
          </cell>
        </row>
        <row r="35">
          <cell r="B35">
            <v>202</v>
          </cell>
          <cell r="I35" t="str">
            <v>more than one management report with the same action; action is compatible with planned combination</v>
          </cell>
        </row>
        <row r="36">
          <cell r="B36">
            <v>203</v>
          </cell>
          <cell r="I36" t="str">
            <v>more than one management report with the same action; action is compatible with planned combination</v>
          </cell>
        </row>
        <row r="37">
          <cell r="B37">
            <v>231</v>
          </cell>
          <cell r="I37" t="str">
            <v>management reports for different actions in same phase</v>
          </cell>
        </row>
        <row r="38">
          <cell r="B38">
            <v>241</v>
          </cell>
          <cell r="I38" t="str">
            <v>management reports for different actions in same phase</v>
          </cell>
        </row>
        <row r="39">
          <cell r="B39">
            <v>251</v>
          </cell>
          <cell r="I39" t="str">
            <v>management reports for different actions in same phase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nroll"/>
    </sheetNames>
    <sheetDataSet>
      <sheetData sheetId="0">
        <row r="28">
          <cell r="A28">
            <v>221</v>
          </cell>
          <cell r="F28" t="str">
            <v>planned combination incompatible with management restriction</v>
          </cell>
        </row>
        <row r="29">
          <cell r="A29">
            <v>222</v>
          </cell>
          <cell r="F29" t="str">
            <v>planned combination incompatible with management restriction</v>
          </cell>
        </row>
        <row r="30">
          <cell r="A30">
            <v>223</v>
          </cell>
          <cell r="F30" t="str">
            <v>planned combination incompatible with management restriction</v>
          </cell>
        </row>
        <row r="31">
          <cell r="A31">
            <v>224</v>
          </cell>
          <cell r="F31" t="str">
            <v>planned combination incompatible with management restriction</v>
          </cell>
        </row>
        <row r="32">
          <cell r="A32">
            <v>225</v>
          </cell>
          <cell r="F32" t="str">
            <v>planned combination incompatible with management restriction</v>
          </cell>
        </row>
        <row r="33">
          <cell r="A33">
            <v>226</v>
          </cell>
          <cell r="F33" t="str">
            <v>planned combination incompatible with management restriction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9"/>
  <sheetViews>
    <sheetView tabSelected="1" workbookViewId="0"/>
  </sheetViews>
  <sheetFormatPr defaultRowHeight="15" x14ac:dyDescent="0.25"/>
  <cols>
    <col min="1" max="1" width="9.85546875" customWidth="1"/>
    <col min="3" max="3" width="10.140625" customWidth="1"/>
    <col min="6" max="6" width="14.140625" customWidth="1"/>
    <col min="7" max="7" width="14.8554687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8</v>
      </c>
    </row>
    <row r="2" spans="1:8" x14ac:dyDescent="0.25">
      <c r="A2">
        <v>1</v>
      </c>
      <c r="B2">
        <f>[1]Sheet1!$B$2</f>
        <v>1</v>
      </c>
      <c r="C2">
        <v>2525</v>
      </c>
      <c r="D2" t="s">
        <v>7</v>
      </c>
      <c r="E2" t="s">
        <v>7</v>
      </c>
      <c r="F2" t="b">
        <v>0</v>
      </c>
      <c r="G2" t="b">
        <v>0</v>
      </c>
      <c r="H2" t="str">
        <f>[1]Sheet1!$I$2</f>
        <v>everything ok; no management reported in current cycle</v>
      </c>
    </row>
    <row r="3" spans="1:8" x14ac:dyDescent="0.25">
      <c r="A3">
        <f>A2+1</f>
        <v>2</v>
      </c>
      <c r="B3">
        <f>[1]Sheet1!$B$3</f>
        <v>2</v>
      </c>
      <c r="C3">
        <v>2525</v>
      </c>
      <c r="D3" t="s">
        <v>7</v>
      </c>
      <c r="E3" t="s">
        <v>7</v>
      </c>
      <c r="F3" t="b">
        <v>0</v>
      </c>
      <c r="G3" t="b">
        <v>0</v>
      </c>
      <c r="H3" t="str">
        <f>[1]Sheet1!$I$3</f>
        <v>everything ok; translocating action compatible with planned management</v>
      </c>
    </row>
    <row r="4" spans="1:8" x14ac:dyDescent="0.25">
      <c r="A4">
        <f t="shared" ref="A4:A26" si="0">A3+1</f>
        <v>3</v>
      </c>
      <c r="B4">
        <f>[1]Sheet1!$B$4</f>
        <v>3</v>
      </c>
      <c r="C4">
        <v>2525</v>
      </c>
      <c r="D4" t="s">
        <v>7</v>
      </c>
      <c r="E4" t="s">
        <v>7</v>
      </c>
      <c r="F4" t="b">
        <v>0</v>
      </c>
      <c r="G4" t="b">
        <v>0</v>
      </c>
      <c r="H4" t="str">
        <f>[1]Sheet1!$I$4</f>
        <v>everything ok; dormant action compatible with planned management</v>
      </c>
    </row>
    <row r="5" spans="1:8" x14ac:dyDescent="0.25">
      <c r="A5">
        <f t="shared" si="0"/>
        <v>4</v>
      </c>
      <c r="B5">
        <f>[1]Sheet1!$B$5</f>
        <v>4</v>
      </c>
      <c r="C5">
        <v>2525</v>
      </c>
      <c r="D5" t="s">
        <v>7</v>
      </c>
      <c r="E5" t="s">
        <v>7</v>
      </c>
      <c r="F5" t="b">
        <v>0</v>
      </c>
      <c r="G5" t="b">
        <v>0</v>
      </c>
      <c r="H5" t="str">
        <f>[1]Sheet1!$I$5</f>
        <v>everything ok; all reported actions compatible with planned management</v>
      </c>
    </row>
    <row r="6" spans="1:8" x14ac:dyDescent="0.25">
      <c r="A6">
        <f t="shared" si="0"/>
        <v>5</v>
      </c>
      <c r="B6">
        <f>[1]Sheet1!$B$6</f>
        <v>5</v>
      </c>
      <c r="C6">
        <v>2525</v>
      </c>
      <c r="D6" t="s">
        <v>7</v>
      </c>
      <c r="E6" t="s">
        <v>7</v>
      </c>
      <c r="F6" t="b">
        <v>0</v>
      </c>
      <c r="G6" t="b">
        <v>0</v>
      </c>
      <c r="H6" t="str">
        <f>[1]Sheet1!$I$6</f>
        <v>everything ok; uncertain state</v>
      </c>
    </row>
    <row r="7" spans="1:8" x14ac:dyDescent="0.25">
      <c r="A7">
        <f t="shared" si="0"/>
        <v>6</v>
      </c>
      <c r="B7">
        <f>[1]Sheet1!$B$7</f>
        <v>6</v>
      </c>
      <c r="C7">
        <v>2525</v>
      </c>
      <c r="D7" t="s">
        <v>7</v>
      </c>
      <c r="E7" t="s">
        <v>7</v>
      </c>
      <c r="F7" t="b">
        <v>0</v>
      </c>
      <c r="G7" t="b">
        <v>0</v>
      </c>
      <c r="H7" t="str">
        <f>[1]Sheet1!$I$7</f>
        <v>everything ok; uncertain state</v>
      </c>
    </row>
    <row r="8" spans="1:8" x14ac:dyDescent="0.25">
      <c r="A8">
        <f t="shared" si="0"/>
        <v>7</v>
      </c>
      <c r="B8">
        <f>[1]Sheet1!$B$8</f>
        <v>7</v>
      </c>
      <c r="C8">
        <v>2525</v>
      </c>
      <c r="D8" t="s">
        <v>7</v>
      </c>
      <c r="E8" t="s">
        <v>7</v>
      </c>
      <c r="F8" t="b">
        <v>0</v>
      </c>
      <c r="G8" t="b">
        <v>0</v>
      </c>
      <c r="H8" t="str">
        <f>[1]Sheet1!$I$8</f>
        <v>everything ok; uncertain state</v>
      </c>
    </row>
    <row r="9" spans="1:8" x14ac:dyDescent="0.25">
      <c r="A9">
        <f t="shared" si="0"/>
        <v>8</v>
      </c>
      <c r="B9">
        <f>[1]Sheet1!$B$9</f>
        <v>8</v>
      </c>
      <c r="C9">
        <v>2525</v>
      </c>
      <c r="D9" t="s">
        <v>7</v>
      </c>
      <c r="E9" t="s">
        <v>7</v>
      </c>
      <c r="F9" t="b">
        <v>0</v>
      </c>
      <c r="G9" t="b">
        <v>0</v>
      </c>
      <c r="H9" t="str">
        <f>[1]Sheet1!$I$9</f>
        <v>everything ok; uncertain state</v>
      </c>
    </row>
    <row r="10" spans="1:8" x14ac:dyDescent="0.25">
      <c r="A10">
        <f t="shared" si="0"/>
        <v>9</v>
      </c>
      <c r="B10">
        <f>[1]Sheet1!$B$10</f>
        <v>9</v>
      </c>
      <c r="C10">
        <v>2525</v>
      </c>
      <c r="D10" t="s">
        <v>7</v>
      </c>
      <c r="E10" t="s">
        <v>7</v>
      </c>
      <c r="F10" t="b">
        <v>0</v>
      </c>
      <c r="G10" t="b">
        <v>0</v>
      </c>
      <c r="H10" t="str">
        <f>[1]Sheet1!$I$10</f>
        <v>everything ok</v>
      </c>
    </row>
    <row r="11" spans="1:8" x14ac:dyDescent="0.25">
      <c r="A11">
        <f t="shared" si="0"/>
        <v>10</v>
      </c>
      <c r="B11">
        <f>[1]Sheet1!$B$11</f>
        <v>10</v>
      </c>
      <c r="C11">
        <v>2525</v>
      </c>
      <c r="D11" t="s">
        <v>7</v>
      </c>
      <c r="E11" t="s">
        <v>7</v>
      </c>
      <c r="F11" t="b">
        <v>0</v>
      </c>
      <c r="G11" t="b">
        <v>0</v>
      </c>
      <c r="H11" t="str">
        <f>[1]Sheet1!$I$11</f>
        <v>everything ok</v>
      </c>
    </row>
    <row r="12" spans="1:8" x14ac:dyDescent="0.25">
      <c r="A12">
        <f t="shared" si="0"/>
        <v>11</v>
      </c>
      <c r="B12">
        <f>[1]Sheet1!$B$12</f>
        <v>11</v>
      </c>
      <c r="C12">
        <v>2525</v>
      </c>
      <c r="D12" t="s">
        <v>7</v>
      </c>
      <c r="E12" t="s">
        <v>7</v>
      </c>
      <c r="F12" t="b">
        <v>0</v>
      </c>
      <c r="G12" t="b">
        <v>0</v>
      </c>
      <c r="H12" t="str">
        <f>[1]Sheet1!$I$12</f>
        <v>everything ok</v>
      </c>
    </row>
    <row r="13" spans="1:8" x14ac:dyDescent="0.25">
      <c r="A13">
        <f t="shared" si="0"/>
        <v>12</v>
      </c>
      <c r="B13">
        <f>[1]Sheet1!$B$13</f>
        <v>12</v>
      </c>
      <c r="C13">
        <v>2525</v>
      </c>
      <c r="D13" t="s">
        <v>7</v>
      </c>
      <c r="E13" t="s">
        <v>7</v>
      </c>
      <c r="F13" t="b">
        <v>0</v>
      </c>
      <c r="G13" t="b">
        <v>0</v>
      </c>
      <c r="H13" t="str">
        <f>[1]Sheet1!$I$13</f>
        <v>everything ok</v>
      </c>
    </row>
    <row r="14" spans="1:8" x14ac:dyDescent="0.25">
      <c r="A14">
        <f t="shared" si="0"/>
        <v>13</v>
      </c>
      <c r="B14">
        <f>[1]Sheet1!$B$14</f>
        <v>13</v>
      </c>
      <c r="C14">
        <v>2525</v>
      </c>
      <c r="D14" t="s">
        <v>7</v>
      </c>
      <c r="E14" t="s">
        <v>7</v>
      </c>
      <c r="F14" t="b">
        <v>0</v>
      </c>
      <c r="G14" t="b">
        <v>0</v>
      </c>
      <c r="H14" t="str">
        <f>[1]Sheet1!$I$14</f>
        <v>everything ok</v>
      </c>
    </row>
    <row r="15" spans="1:8" x14ac:dyDescent="0.25">
      <c r="A15">
        <f t="shared" si="0"/>
        <v>14</v>
      </c>
      <c r="B15">
        <f>[1]Sheet1!$B$15</f>
        <v>14</v>
      </c>
      <c r="C15">
        <v>2525</v>
      </c>
      <c r="D15" t="s">
        <v>7</v>
      </c>
      <c r="E15" t="s">
        <v>7</v>
      </c>
      <c r="F15" t="b">
        <v>0</v>
      </c>
      <c r="G15" t="b">
        <v>0</v>
      </c>
      <c r="H15" t="str">
        <f>[1]Sheet1!$I$15</f>
        <v>everything ok</v>
      </c>
    </row>
    <row r="16" spans="1:8" x14ac:dyDescent="0.25">
      <c r="A16">
        <f t="shared" si="0"/>
        <v>15</v>
      </c>
      <c r="B16">
        <f>[1]Sheet1!$B$16</f>
        <v>15</v>
      </c>
      <c r="C16">
        <v>2525</v>
      </c>
      <c r="D16" t="s">
        <v>7</v>
      </c>
      <c r="E16" t="s">
        <v>7</v>
      </c>
      <c r="F16" t="b">
        <v>0</v>
      </c>
      <c r="G16" t="b">
        <v>0</v>
      </c>
      <c r="H16" t="str">
        <f>[1]Sheet1!$I$16</f>
        <v>everything ok</v>
      </c>
    </row>
    <row r="17" spans="1:8" x14ac:dyDescent="0.25">
      <c r="A17">
        <f t="shared" si="0"/>
        <v>16</v>
      </c>
      <c r="B17">
        <f>[1]Sheet1!$B$17</f>
        <v>16</v>
      </c>
      <c r="C17">
        <v>2525</v>
      </c>
      <c r="D17" t="s">
        <v>7</v>
      </c>
      <c r="E17" t="s">
        <v>7</v>
      </c>
      <c r="F17" t="b">
        <v>0</v>
      </c>
      <c r="G17" t="b">
        <v>0</v>
      </c>
      <c r="H17" t="str">
        <f>[1]Sheet1!$I$17</f>
        <v>everything ok</v>
      </c>
    </row>
    <row r="18" spans="1:8" ht="14.25" customHeight="1" x14ac:dyDescent="0.25">
      <c r="A18">
        <f t="shared" si="0"/>
        <v>17</v>
      </c>
      <c r="B18">
        <f>[1]Sheet1!$B$18</f>
        <v>17</v>
      </c>
      <c r="C18">
        <v>2525</v>
      </c>
      <c r="D18" t="s">
        <v>7</v>
      </c>
      <c r="E18" t="s">
        <v>7</v>
      </c>
      <c r="F18" t="b">
        <v>0</v>
      </c>
      <c r="G18" t="b">
        <v>0</v>
      </c>
      <c r="H18" t="str">
        <f>[1]Sheet1!$I$18</f>
        <v>growtaken is not empty</v>
      </c>
    </row>
    <row r="19" spans="1:8" x14ac:dyDescent="0.25">
      <c r="A19">
        <v>19</v>
      </c>
      <c r="B19">
        <f>[1]Sheet1!$B$20</f>
        <v>19</v>
      </c>
      <c r="C19">
        <v>2524</v>
      </c>
      <c r="D19" t="s">
        <v>7</v>
      </c>
      <c r="E19" t="s">
        <v>7</v>
      </c>
      <c r="F19" t="b">
        <v>0</v>
      </c>
      <c r="G19" t="b">
        <v>0</v>
      </c>
      <c r="H19" t="str">
        <f>[1]Sheet1!$I$20</f>
        <v>no monitoring report for MU in correct year</v>
      </c>
    </row>
    <row r="20" spans="1:8" x14ac:dyDescent="0.25">
      <c r="A20">
        <f t="shared" si="0"/>
        <v>20</v>
      </c>
      <c r="B20">
        <f>[1]Sheet1!$B$21</f>
        <v>20</v>
      </c>
      <c r="C20">
        <v>2525</v>
      </c>
      <c r="D20" t="s">
        <v>7</v>
      </c>
      <c r="E20" t="s">
        <v>7</v>
      </c>
      <c r="F20" t="b">
        <v>1</v>
      </c>
      <c r="G20" t="b">
        <v>0</v>
      </c>
      <c r="H20" t="str">
        <f>[1]Sheet1!$I$21</f>
        <v>monitoring report rejected from guidance (coordinator)</v>
      </c>
    </row>
    <row r="21" spans="1:8" x14ac:dyDescent="0.25">
      <c r="A21">
        <f t="shared" si="0"/>
        <v>21</v>
      </c>
      <c r="B21">
        <f>[1]Sheet1!$B$22</f>
        <v>21</v>
      </c>
      <c r="C21">
        <v>2525</v>
      </c>
      <c r="D21" t="s">
        <v>7</v>
      </c>
      <c r="E21" t="s">
        <v>7</v>
      </c>
      <c r="F21" t="b">
        <v>0</v>
      </c>
      <c r="G21" t="b">
        <v>1</v>
      </c>
      <c r="H21" t="str">
        <f>[1]Sheet1!$I$22</f>
        <v>monitoring report rejected from guidance (auto)</v>
      </c>
    </row>
    <row r="22" spans="1:8" x14ac:dyDescent="0.25">
      <c r="A22">
        <f t="shared" si="0"/>
        <v>22</v>
      </c>
      <c r="B22">
        <f>[1]Sheet1!$B$23</f>
        <v>22</v>
      </c>
      <c r="C22">
        <v>2525</v>
      </c>
      <c r="D22" t="s">
        <v>7</v>
      </c>
      <c r="E22" t="s">
        <v>7</v>
      </c>
      <c r="F22" t="b">
        <v>0</v>
      </c>
      <c r="G22" t="b">
        <v>0</v>
      </c>
      <c r="H22" t="str">
        <f>[1]Sheet1!$I$23</f>
        <v>planned combination incompatible with management restriction</v>
      </c>
    </row>
    <row r="23" spans="1:8" x14ac:dyDescent="0.25">
      <c r="A23">
        <f t="shared" si="0"/>
        <v>23</v>
      </c>
      <c r="B23">
        <f>[1]Sheet1!$B$24</f>
        <v>23</v>
      </c>
      <c r="C23">
        <v>2525</v>
      </c>
      <c r="D23" t="s">
        <v>7</v>
      </c>
      <c r="E23" t="s">
        <v>7</v>
      </c>
      <c r="F23" t="b">
        <v>0</v>
      </c>
      <c r="G23" t="b">
        <v>0</v>
      </c>
      <c r="H23" t="str">
        <f>[1]Sheet1!$I$24</f>
        <v>planned combination incompatible with reported translocating action</v>
      </c>
    </row>
    <row r="24" spans="1:8" x14ac:dyDescent="0.25">
      <c r="A24">
        <f t="shared" si="0"/>
        <v>24</v>
      </c>
      <c r="B24">
        <f>[1]Sheet1!$B$25</f>
        <v>24</v>
      </c>
      <c r="C24">
        <v>2525</v>
      </c>
      <c r="D24" t="s">
        <v>7</v>
      </c>
      <c r="E24" t="s">
        <v>7</v>
      </c>
      <c r="F24" t="b">
        <v>0</v>
      </c>
      <c r="G24" t="b">
        <v>0</v>
      </c>
      <c r="H24" t="str">
        <f>[1]Sheet1!$I$25</f>
        <v>planned combination incompatible with reported dormant action</v>
      </c>
    </row>
    <row r="25" spans="1:8" x14ac:dyDescent="0.25">
      <c r="A25">
        <f t="shared" si="0"/>
        <v>25</v>
      </c>
      <c r="B25">
        <f>[1]Sheet1!$B$26</f>
        <v>25</v>
      </c>
      <c r="C25">
        <v>2525</v>
      </c>
      <c r="D25" t="s">
        <v>7</v>
      </c>
      <c r="E25" t="s">
        <v>7</v>
      </c>
      <c r="F25" t="b">
        <v>0</v>
      </c>
      <c r="G25" t="b">
        <v>0</v>
      </c>
      <c r="H25" t="str">
        <f>[1]Sheet1!$I$26</f>
        <v>planned combination incompatible with reported translocating, dormant actions</v>
      </c>
    </row>
    <row r="26" spans="1:8" x14ac:dyDescent="0.25">
      <c r="A26">
        <f t="shared" si="0"/>
        <v>26</v>
      </c>
      <c r="B26">
        <v>1</v>
      </c>
      <c r="C26">
        <v>2524</v>
      </c>
      <c r="D26" t="s">
        <v>7</v>
      </c>
      <c r="E26" t="s">
        <v>7</v>
      </c>
      <c r="F26" t="b">
        <v>0</v>
      </c>
      <c r="G26" t="b">
        <v>0</v>
      </c>
      <c r="H26" t="s">
        <v>10</v>
      </c>
    </row>
    <row r="27" spans="1:8" x14ac:dyDescent="0.25">
      <c r="A27">
        <v>27</v>
      </c>
      <c r="B27">
        <v>26</v>
      </c>
      <c r="C27">
        <v>2525</v>
      </c>
      <c r="D27" t="s">
        <v>7</v>
      </c>
      <c r="E27" t="s">
        <v>7</v>
      </c>
      <c r="F27" t="b">
        <v>0</v>
      </c>
      <c r="G27" t="b">
        <v>0</v>
      </c>
      <c r="H27" t="s">
        <v>9</v>
      </c>
    </row>
    <row r="28" spans="1:8" x14ac:dyDescent="0.25">
      <c r="A28">
        <v>28</v>
      </c>
      <c r="B28">
        <f>[2]enroll!$A$28</f>
        <v>221</v>
      </c>
      <c r="C28">
        <v>2525</v>
      </c>
      <c r="D28" t="s">
        <v>7</v>
      </c>
      <c r="E28" t="s">
        <v>7</v>
      </c>
      <c r="F28" t="b">
        <v>0</v>
      </c>
      <c r="G28" t="b">
        <v>0</v>
      </c>
      <c r="H28" t="str">
        <f>[2]enroll!$F$28</f>
        <v>planned combination incompatible with management restriction</v>
      </c>
    </row>
    <row r="29" spans="1:8" x14ac:dyDescent="0.25">
      <c r="A29">
        <v>29</v>
      </c>
      <c r="B29">
        <f>[2]enroll!$A$29</f>
        <v>222</v>
      </c>
      <c r="C29">
        <v>2525</v>
      </c>
      <c r="D29" t="s">
        <v>7</v>
      </c>
      <c r="E29" t="s">
        <v>7</v>
      </c>
      <c r="F29" t="b">
        <v>0</v>
      </c>
      <c r="G29" t="b">
        <v>0</v>
      </c>
      <c r="H29" t="str">
        <f>[2]enroll!$F$29</f>
        <v>planned combination incompatible with management restriction</v>
      </c>
    </row>
    <row r="30" spans="1:8" x14ac:dyDescent="0.25">
      <c r="A30">
        <v>30</v>
      </c>
      <c r="B30">
        <f>[2]enroll!$A$30</f>
        <v>223</v>
      </c>
      <c r="C30">
        <v>2525</v>
      </c>
      <c r="D30" t="s">
        <v>7</v>
      </c>
      <c r="E30" t="s">
        <v>7</v>
      </c>
      <c r="F30" t="b">
        <v>0</v>
      </c>
      <c r="G30" t="b">
        <v>0</v>
      </c>
      <c r="H30" t="str">
        <f>[2]enroll!$F$30</f>
        <v>planned combination incompatible with management restriction</v>
      </c>
    </row>
    <row r="31" spans="1:8" x14ac:dyDescent="0.25">
      <c r="A31">
        <v>31</v>
      </c>
      <c r="B31">
        <f>[2]enroll!$A$31</f>
        <v>224</v>
      </c>
      <c r="C31">
        <v>2525</v>
      </c>
      <c r="D31" t="s">
        <v>7</v>
      </c>
      <c r="E31" t="s">
        <v>7</v>
      </c>
      <c r="F31" t="b">
        <v>0</v>
      </c>
      <c r="G31" t="b">
        <v>0</v>
      </c>
      <c r="H31" t="str">
        <f>[2]enroll!$F$31</f>
        <v>planned combination incompatible with management restriction</v>
      </c>
    </row>
    <row r="32" spans="1:8" x14ac:dyDescent="0.25">
      <c r="A32">
        <v>32</v>
      </c>
      <c r="B32">
        <f>[2]enroll!$A$32</f>
        <v>225</v>
      </c>
      <c r="C32">
        <v>2525</v>
      </c>
      <c r="D32" t="s">
        <v>7</v>
      </c>
      <c r="E32" t="s">
        <v>7</v>
      </c>
      <c r="F32" t="b">
        <v>0</v>
      </c>
      <c r="G32" t="b">
        <v>0</v>
      </c>
      <c r="H32" t="str">
        <f>[2]enroll!$F$32</f>
        <v>planned combination incompatible with management restriction</v>
      </c>
    </row>
    <row r="33" spans="1:8" x14ac:dyDescent="0.25">
      <c r="A33">
        <v>33</v>
      </c>
      <c r="B33">
        <f>[2]enroll!$A$33</f>
        <v>226</v>
      </c>
      <c r="C33">
        <v>2525</v>
      </c>
      <c r="D33" t="s">
        <v>7</v>
      </c>
      <c r="E33" t="s">
        <v>7</v>
      </c>
      <c r="F33" t="b">
        <v>0</v>
      </c>
      <c r="G33" t="b">
        <v>0</v>
      </c>
      <c r="H33" t="str">
        <f>[2]enroll!$F$33</f>
        <v>planned combination incompatible with management restriction</v>
      </c>
    </row>
    <row r="34" spans="1:8" x14ac:dyDescent="0.25">
      <c r="A34">
        <v>34</v>
      </c>
      <c r="B34">
        <f>[1]Sheet1!$B$34</f>
        <v>201</v>
      </c>
      <c r="C34">
        <v>2525</v>
      </c>
      <c r="D34" t="s">
        <v>7</v>
      </c>
      <c r="E34" t="s">
        <v>7</v>
      </c>
      <c r="F34" t="b">
        <v>0</v>
      </c>
      <c r="G34" t="b">
        <v>0</v>
      </c>
      <c r="H34" t="str">
        <f>[1]Sheet1!$I$34</f>
        <v>more than one management report with the same action; action is compatible with planned combination</v>
      </c>
    </row>
    <row r="35" spans="1:8" x14ac:dyDescent="0.25">
      <c r="A35">
        <v>35</v>
      </c>
      <c r="B35">
        <f>[1]Sheet1!$B$35</f>
        <v>202</v>
      </c>
      <c r="C35">
        <v>2525</v>
      </c>
      <c r="D35" t="s">
        <v>7</v>
      </c>
      <c r="E35" t="s">
        <v>7</v>
      </c>
      <c r="F35" t="b">
        <v>0</v>
      </c>
      <c r="G35" t="b">
        <v>0</v>
      </c>
      <c r="H35" t="str">
        <f>[1]Sheet1!$I$35</f>
        <v>more than one management report with the same action; action is compatible with planned combination</v>
      </c>
    </row>
    <row r="36" spans="1:8" x14ac:dyDescent="0.25">
      <c r="A36">
        <v>36</v>
      </c>
      <c r="B36">
        <f>[1]Sheet1!$B$36</f>
        <v>203</v>
      </c>
      <c r="C36">
        <v>2525</v>
      </c>
      <c r="D36" t="s">
        <v>7</v>
      </c>
      <c r="E36" t="s">
        <v>7</v>
      </c>
      <c r="F36" t="b">
        <v>0</v>
      </c>
      <c r="G36" t="b">
        <v>0</v>
      </c>
      <c r="H36" t="str">
        <f>[1]Sheet1!$I$36</f>
        <v>more than one management report with the same action; action is compatible with planned combination</v>
      </c>
    </row>
    <row r="37" spans="1:8" x14ac:dyDescent="0.25">
      <c r="A37">
        <v>37</v>
      </c>
      <c r="B37">
        <f>[1]Sheet1!$B$37</f>
        <v>231</v>
      </c>
      <c r="C37">
        <v>2525</v>
      </c>
      <c r="D37" t="s">
        <v>7</v>
      </c>
      <c r="E37" t="s">
        <v>7</v>
      </c>
      <c r="F37" t="b">
        <v>0</v>
      </c>
      <c r="G37" t="b">
        <v>0</v>
      </c>
      <c r="H37" t="str">
        <f>[1]Sheet1!$I$37</f>
        <v>management reports for different actions in same phase</v>
      </c>
    </row>
    <row r="38" spans="1:8" x14ac:dyDescent="0.25">
      <c r="A38">
        <v>38</v>
      </c>
      <c r="B38">
        <f>[1]Sheet1!$B$38</f>
        <v>241</v>
      </c>
      <c r="C38">
        <v>2525</v>
      </c>
      <c r="D38" t="s">
        <v>7</v>
      </c>
      <c r="E38" t="s">
        <v>7</v>
      </c>
      <c r="F38" t="b">
        <v>0</v>
      </c>
      <c r="G38" t="b">
        <v>0</v>
      </c>
      <c r="H38" t="str">
        <f>[1]Sheet1!$I$38</f>
        <v>management reports for different actions in same phase</v>
      </c>
    </row>
    <row r="39" spans="1:8" x14ac:dyDescent="0.25">
      <c r="A39">
        <v>39</v>
      </c>
      <c r="B39">
        <f>[1]Sheet1!$B$39</f>
        <v>251</v>
      </c>
      <c r="C39">
        <v>2525</v>
      </c>
      <c r="D39" t="s">
        <v>7</v>
      </c>
      <c r="E39" t="s">
        <v>7</v>
      </c>
      <c r="F39" t="b">
        <v>0</v>
      </c>
      <c r="G39" t="b">
        <v>0</v>
      </c>
      <c r="H39" t="str">
        <f>[1]Sheet1!$I$39</f>
        <v>management reports for different actions in same phase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monitor_issues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Dumoulin, Christine Elise</dc:creator>
  <cp:lastModifiedBy>Dumoulin, Christine Elise</cp:lastModifiedBy>
  <dcterms:created xsi:type="dcterms:W3CDTF">2020-12-09T23:20:21Z</dcterms:created>
  <dcterms:modified xsi:type="dcterms:W3CDTF">2020-12-14T22:36:51Z</dcterms:modified>
</cp:coreProperties>
</file>