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umoulin\Desktop\pamf-model-midcycle\src\forecast-guidance\test-cases\prevrun-test\"/>
    </mc:Choice>
  </mc:AlternateContent>
  <xr:revisionPtr revIDLastSave="0" documentId="13_ncr:1_{461C4068-5A0F-4F07-9134-223E536C07EB}" xr6:coauthVersionLast="45" xr6:coauthVersionMax="45" xr10:uidLastSave="{00000000-0000-0000-0000-000000000000}"/>
  <bookViews>
    <workbookView xWindow="13965" yWindow="-240" windowWidth="15375" windowHeight="7875" xr2:uid="{00000000-000D-0000-FFFF-FFFF00000000}"/>
  </bookViews>
  <sheets>
    <sheet name="manage-tes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F24" i="1"/>
  <c r="F25" i="1"/>
  <c r="F26" i="1"/>
  <c r="B24" i="1"/>
  <c r="B25" i="1"/>
  <c r="B26" i="1"/>
  <c r="B22" i="1"/>
  <c r="F22" i="1"/>
  <c r="B20" i="1"/>
  <c r="F20" i="1"/>
  <c r="F16" i="1"/>
  <c r="F17" i="1"/>
  <c r="F18" i="1"/>
  <c r="B16" i="1"/>
  <c r="B17" i="1"/>
  <c r="B18" i="1"/>
  <c r="B14" i="1"/>
  <c r="F14" i="1"/>
  <c r="B12" i="1"/>
  <c r="F12" i="1"/>
  <c r="F23" i="1"/>
  <c r="F21" i="1"/>
  <c r="F19" i="1"/>
  <c r="F15" i="1"/>
  <c r="F13" i="1"/>
  <c r="B23" i="1"/>
  <c r="B21" i="1"/>
  <c r="B19" i="1"/>
  <c r="B15" i="1"/>
  <c r="B13" i="1"/>
  <c r="F11" i="1"/>
  <c r="B11" i="1"/>
  <c r="F10" i="1" l="1"/>
  <c r="B10" i="1"/>
  <c r="F4" i="1"/>
  <c r="F9" i="1"/>
  <c r="F8" i="1"/>
  <c r="F7" i="1"/>
  <c r="F6" i="1"/>
  <c r="F5" i="1"/>
  <c r="F3" i="1"/>
  <c r="F2" i="1"/>
  <c r="B9" i="1"/>
  <c r="B8" i="1"/>
  <c r="B7" i="1"/>
  <c r="B6" i="1"/>
  <c r="B5" i="1"/>
  <c r="B3" i="1"/>
  <c r="B2" i="1"/>
  <c r="A3" i="1"/>
  <c r="A5" i="1" s="1"/>
  <c r="A8" i="1" s="1"/>
  <c r="A9" i="1" s="1"/>
  <c r="A10" i="1" s="1"/>
</calcChain>
</file>

<file path=xl/sharedStrings.xml><?xml version="1.0" encoding="utf-8"?>
<sst xmlns="http://schemas.openxmlformats.org/spreadsheetml/2006/main" count="6" uniqueCount="6">
  <si>
    <t>id</t>
  </si>
  <si>
    <t>munitid</t>
  </si>
  <si>
    <t>dateentered</t>
  </si>
  <si>
    <t>phase</t>
  </si>
  <si>
    <t>treatmethod</t>
  </si>
  <si>
    <t>test_note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</si>
</sst>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dumoulin/Desktop/pamf-model-midcycle/src/forecast-guidance/test-cases/midcycle-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">
          <cell r="B3">
            <v>2</v>
          </cell>
          <cell r="I3" t="str">
            <v>everything ok; translocating action compatible with planned management</v>
          </cell>
        </row>
        <row r="4">
          <cell r="B4">
            <v>3</v>
          </cell>
          <cell r="I4" t="str">
            <v>everything ok; dormant action compatible with planned management</v>
          </cell>
        </row>
        <row r="5">
          <cell r="B5">
            <v>4</v>
          </cell>
          <cell r="I5" t="str">
            <v>everything ok; all reported actions compatible with planned management</v>
          </cell>
        </row>
        <row r="18">
          <cell r="B18">
            <v>17</v>
          </cell>
          <cell r="I18" t="str">
            <v>growtaken is not empty</v>
          </cell>
        </row>
        <row r="24">
          <cell r="B24">
            <v>23</v>
          </cell>
          <cell r="I24" t="str">
            <v>planned combination incompatible with reported translocating action</v>
          </cell>
        </row>
        <row r="25">
          <cell r="B25">
            <v>24</v>
          </cell>
          <cell r="I25" t="str">
            <v>planned combination incompatible with reported dormant action</v>
          </cell>
        </row>
        <row r="26">
          <cell r="B26">
            <v>25</v>
          </cell>
          <cell r="I26" t="str">
            <v>planned combination incompatible with reported translocating, dormant actions</v>
          </cell>
        </row>
        <row r="34">
          <cell r="B34">
            <v>201</v>
          </cell>
          <cell r="I34" t="str">
            <v>more than one management report with the same action; action is compatible with planned combination</v>
          </cell>
        </row>
        <row r="35">
          <cell r="B35">
            <v>202</v>
          </cell>
          <cell r="I35" t="str">
            <v>more than one management report with the same action; action is compatible with planned combination</v>
          </cell>
        </row>
        <row r="36">
          <cell r="B36">
            <v>203</v>
          </cell>
          <cell r="I36" t="str">
            <v>more than one management report with the same action; action is compatible with planned combination</v>
          </cell>
        </row>
        <row r="37">
          <cell r="B37">
            <v>231</v>
          </cell>
          <cell r="I37" t="str">
            <v>management reports for different actions in same phase</v>
          </cell>
        </row>
        <row r="38">
          <cell r="B38">
            <v>241</v>
          </cell>
          <cell r="I38" t="str">
            <v>management reports for different actions in same phase</v>
          </cell>
        </row>
        <row r="39">
          <cell r="B39">
            <v>251</v>
          </cell>
          <cell r="I39" t="str">
            <v>management reports for different actions in same phase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Normal="100" workbookViewId="0"/>
  </sheetViews>
  <sheetFormatPr defaultRowHeight="15" x14ac:dyDescent="0.25"/>
  <cols>
    <col min="3" max="3" width="12.28515625" style="1" customWidth="1"/>
    <col min="5" max="5" width="12.28515625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</v>
      </c>
      <c r="B2">
        <f>[1]Sheet1!$B$3</f>
        <v>2</v>
      </c>
      <c r="C2" s="1">
        <v>228552</v>
      </c>
      <c r="D2">
        <v>0</v>
      </c>
      <c r="E2">
        <v>0</v>
      </c>
      <c r="F2" t="str">
        <f>[1]Sheet1!$I$3</f>
        <v>everything ok; translocating action compatible with planned management</v>
      </c>
    </row>
    <row r="3" spans="1:6" x14ac:dyDescent="0.25">
      <c r="A3">
        <f t="shared" ref="A3:A9" si="0">A2+1</f>
        <v>3</v>
      </c>
      <c r="B3">
        <f>[1]Sheet1!$B$4</f>
        <v>3</v>
      </c>
      <c r="C3" s="1">
        <v>228613</v>
      </c>
      <c r="D3">
        <v>1</v>
      </c>
      <c r="E3">
        <v>8</v>
      </c>
      <c r="F3" t="str">
        <f>[1]Sheet1!$I$4</f>
        <v>everything ok; dormant action compatible with planned management</v>
      </c>
    </row>
    <row r="4" spans="1:6" x14ac:dyDescent="0.25">
      <c r="A4">
        <v>4</v>
      </c>
      <c r="B4">
        <v>4</v>
      </c>
      <c r="C4" s="1">
        <v>228552</v>
      </c>
      <c r="D4">
        <v>0</v>
      </c>
      <c r="E4">
        <v>0</v>
      </c>
      <c r="F4" t="str">
        <f>[1]Sheet1!$I$5</f>
        <v>everything ok; all reported actions compatible with planned management</v>
      </c>
    </row>
    <row r="5" spans="1:6" x14ac:dyDescent="0.25">
      <c r="A5">
        <f>A3+1</f>
        <v>4</v>
      </c>
      <c r="B5">
        <f>[1]Sheet1!$B$5</f>
        <v>4</v>
      </c>
      <c r="C5" s="1">
        <v>228613</v>
      </c>
      <c r="D5">
        <v>1</v>
      </c>
      <c r="E5">
        <v>9</v>
      </c>
      <c r="F5" t="str">
        <f>[1]Sheet1!$I$5</f>
        <v>everything ok; all reported actions compatible with planned management</v>
      </c>
    </row>
    <row r="6" spans="1:6" x14ac:dyDescent="0.25">
      <c r="A6">
        <v>17</v>
      </c>
      <c r="B6">
        <f>[1]Sheet1!$B$18</f>
        <v>17</v>
      </c>
      <c r="C6" s="1">
        <v>228498</v>
      </c>
      <c r="D6">
        <v>2</v>
      </c>
      <c r="E6">
        <v>8</v>
      </c>
      <c r="F6" t="str">
        <f>[1]Sheet1!$I$18</f>
        <v>growtaken is not empty</v>
      </c>
    </row>
    <row r="7" spans="1:6" x14ac:dyDescent="0.25">
      <c r="A7">
        <v>23</v>
      </c>
      <c r="B7">
        <f>[1]Sheet1!$B$24</f>
        <v>23</v>
      </c>
      <c r="C7" s="1">
        <v>228552</v>
      </c>
      <c r="D7">
        <v>0</v>
      </c>
      <c r="E7">
        <v>3</v>
      </c>
      <c r="F7" t="str">
        <f>[1]Sheet1!$I$24</f>
        <v>planned combination incompatible with reported translocating action</v>
      </c>
    </row>
    <row r="8" spans="1:6" x14ac:dyDescent="0.25">
      <c r="A8">
        <f t="shared" si="0"/>
        <v>24</v>
      </c>
      <c r="B8">
        <f>[1]Sheet1!$B$25</f>
        <v>24</v>
      </c>
      <c r="C8" s="1">
        <v>228613</v>
      </c>
      <c r="D8">
        <v>1</v>
      </c>
      <c r="E8">
        <v>3</v>
      </c>
      <c r="F8" t="str">
        <f>[1]Sheet1!$I$25</f>
        <v>planned combination incompatible with reported dormant action</v>
      </c>
    </row>
    <row r="9" spans="1:6" x14ac:dyDescent="0.25">
      <c r="A9">
        <f t="shared" si="0"/>
        <v>25</v>
      </c>
      <c r="B9">
        <f>[1]Sheet1!$B$26</f>
        <v>25</v>
      </c>
      <c r="C9" s="1">
        <v>228552</v>
      </c>
      <c r="D9">
        <v>0</v>
      </c>
      <c r="E9">
        <v>3</v>
      </c>
      <c r="F9" t="str">
        <f>[1]Sheet1!$I$26</f>
        <v>planned combination incompatible with reported translocating, dormant actions</v>
      </c>
    </row>
    <row r="10" spans="1:6" x14ac:dyDescent="0.25">
      <c r="A10">
        <f t="shared" ref="A10:A26" si="1">A9+1</f>
        <v>26</v>
      </c>
      <c r="B10">
        <f>[1]Sheet1!$B$26</f>
        <v>25</v>
      </c>
      <c r="C10" s="1">
        <v>228613</v>
      </c>
      <c r="D10">
        <v>1</v>
      </c>
      <c r="E10">
        <v>3</v>
      </c>
      <c r="F10" t="str">
        <f>[1]Sheet1!$I$26</f>
        <v>planned combination incompatible with reported translocating, dormant actions</v>
      </c>
    </row>
    <row r="11" spans="1:6" x14ac:dyDescent="0.25">
      <c r="A11">
        <f t="shared" si="1"/>
        <v>27</v>
      </c>
      <c r="B11">
        <f>[1]Sheet1!$B$34</f>
        <v>201</v>
      </c>
      <c r="C11" s="1">
        <v>228552</v>
      </c>
      <c r="D11">
        <v>0</v>
      </c>
      <c r="E11">
        <v>3</v>
      </c>
      <c r="F11" t="str">
        <f>[1]Sheet1!$I$34</f>
        <v>more than one management report with the same action; action is compatible with planned combination</v>
      </c>
    </row>
    <row r="12" spans="1:6" x14ac:dyDescent="0.25">
      <c r="A12">
        <f t="shared" si="1"/>
        <v>28</v>
      </c>
      <c r="B12">
        <f>[1]Sheet1!$B$34</f>
        <v>201</v>
      </c>
      <c r="C12" s="1">
        <v>228552</v>
      </c>
      <c r="D12">
        <v>0</v>
      </c>
      <c r="E12">
        <v>3</v>
      </c>
      <c r="F12" t="str">
        <f>[1]Sheet1!$I$34</f>
        <v>more than one management report with the same action; action is compatible with planned combination</v>
      </c>
    </row>
    <row r="13" spans="1:6" x14ac:dyDescent="0.25">
      <c r="A13">
        <f t="shared" si="1"/>
        <v>29</v>
      </c>
      <c r="B13">
        <f>[1]Sheet1!$B$35</f>
        <v>202</v>
      </c>
      <c r="C13" s="1">
        <v>228613</v>
      </c>
      <c r="D13">
        <v>1</v>
      </c>
      <c r="E13">
        <v>3</v>
      </c>
      <c r="F13" t="str">
        <f>[1]Sheet1!$I$35</f>
        <v>more than one management report with the same action; action is compatible with planned combination</v>
      </c>
    </row>
    <row r="14" spans="1:6" x14ac:dyDescent="0.25">
      <c r="A14">
        <f t="shared" si="1"/>
        <v>30</v>
      </c>
      <c r="B14">
        <f>[1]Sheet1!$B$35</f>
        <v>202</v>
      </c>
      <c r="C14" s="1">
        <v>228613</v>
      </c>
      <c r="D14">
        <v>1</v>
      </c>
      <c r="E14">
        <v>3</v>
      </c>
      <c r="F14" t="str">
        <f>[1]Sheet1!$I$35</f>
        <v>more than one management report with the same action; action is compatible with planned combination</v>
      </c>
    </row>
    <row r="15" spans="1:6" x14ac:dyDescent="0.25">
      <c r="A15">
        <f t="shared" si="1"/>
        <v>31</v>
      </c>
      <c r="B15">
        <f>[1]Sheet1!$B$36</f>
        <v>203</v>
      </c>
      <c r="C15" s="1">
        <v>228552</v>
      </c>
      <c r="D15">
        <v>0</v>
      </c>
      <c r="E15">
        <v>4</v>
      </c>
      <c r="F15" t="str">
        <f>[1]Sheet1!$I$36</f>
        <v>more than one management report with the same action; action is compatible with planned combination</v>
      </c>
    </row>
    <row r="16" spans="1:6" x14ac:dyDescent="0.25">
      <c r="A16">
        <f t="shared" si="1"/>
        <v>32</v>
      </c>
      <c r="B16">
        <f>[1]Sheet1!$B$36</f>
        <v>203</v>
      </c>
      <c r="C16" s="1">
        <v>228552</v>
      </c>
      <c r="D16">
        <v>0</v>
      </c>
      <c r="E16">
        <v>4</v>
      </c>
      <c r="F16" t="str">
        <f>[1]Sheet1!$I$36</f>
        <v>more than one management report with the same action; action is compatible with planned combination</v>
      </c>
    </row>
    <row r="17" spans="1:6" x14ac:dyDescent="0.25">
      <c r="A17">
        <f t="shared" si="1"/>
        <v>33</v>
      </c>
      <c r="B17">
        <f>[1]Sheet1!$B$36</f>
        <v>203</v>
      </c>
      <c r="C17" s="1">
        <v>228613</v>
      </c>
      <c r="D17">
        <v>1</v>
      </c>
      <c r="E17">
        <v>3</v>
      </c>
      <c r="F17" t="str">
        <f>[1]Sheet1!$I$36</f>
        <v>more than one management report with the same action; action is compatible with planned combination</v>
      </c>
    </row>
    <row r="18" spans="1:6" x14ac:dyDescent="0.25">
      <c r="A18">
        <f t="shared" si="1"/>
        <v>34</v>
      </c>
      <c r="B18">
        <f>[1]Sheet1!$B$36</f>
        <v>203</v>
      </c>
      <c r="C18" s="1">
        <v>228613</v>
      </c>
      <c r="D18">
        <v>1</v>
      </c>
      <c r="E18">
        <v>3</v>
      </c>
      <c r="F18" t="str">
        <f>[1]Sheet1!$I$36</f>
        <v>more than one management report with the same action; action is compatible with planned combination</v>
      </c>
    </row>
    <row r="19" spans="1:6" x14ac:dyDescent="0.25">
      <c r="A19">
        <f t="shared" si="1"/>
        <v>35</v>
      </c>
      <c r="B19">
        <f>[1]Sheet1!$B$37</f>
        <v>231</v>
      </c>
      <c r="C19" s="1">
        <v>228552</v>
      </c>
      <c r="D19">
        <v>0</v>
      </c>
      <c r="E19">
        <v>1</v>
      </c>
      <c r="F19" t="str">
        <f>[1]Sheet1!$I$37</f>
        <v>management reports for different actions in same phase</v>
      </c>
    </row>
    <row r="20" spans="1:6" x14ac:dyDescent="0.25">
      <c r="A20">
        <f t="shared" si="1"/>
        <v>36</v>
      </c>
      <c r="B20">
        <f>[1]Sheet1!$B$37</f>
        <v>231</v>
      </c>
      <c r="C20" s="1">
        <v>228552</v>
      </c>
      <c r="D20">
        <v>0</v>
      </c>
      <c r="E20">
        <v>2</v>
      </c>
      <c r="F20" t="str">
        <f>[1]Sheet1!$I$37</f>
        <v>management reports for different actions in same phase</v>
      </c>
    </row>
    <row r="21" spans="1:6" x14ac:dyDescent="0.25">
      <c r="A21">
        <f t="shared" si="1"/>
        <v>37</v>
      </c>
      <c r="B21">
        <f>[1]Sheet1!$B$38</f>
        <v>241</v>
      </c>
      <c r="C21" s="1">
        <v>228613</v>
      </c>
      <c r="D21">
        <v>1</v>
      </c>
      <c r="E21">
        <v>3</v>
      </c>
      <c r="F21" t="str">
        <f>[1]Sheet1!$I$38</f>
        <v>management reports for different actions in same phase</v>
      </c>
    </row>
    <row r="22" spans="1:6" x14ac:dyDescent="0.25">
      <c r="A22">
        <f t="shared" si="1"/>
        <v>38</v>
      </c>
      <c r="B22">
        <f>[1]Sheet1!$B$38</f>
        <v>241</v>
      </c>
      <c r="C22" s="1">
        <v>228613</v>
      </c>
      <c r="D22">
        <v>1</v>
      </c>
      <c r="E22">
        <v>4</v>
      </c>
      <c r="F22" t="str">
        <f>[1]Sheet1!$I$38</f>
        <v>management reports for different actions in same phase</v>
      </c>
    </row>
    <row r="23" spans="1:6" x14ac:dyDescent="0.25">
      <c r="A23">
        <f t="shared" si="1"/>
        <v>39</v>
      </c>
      <c r="B23">
        <f>[1]Sheet1!$B$39</f>
        <v>251</v>
      </c>
      <c r="C23" s="1">
        <v>228552</v>
      </c>
      <c r="D23">
        <v>0</v>
      </c>
      <c r="E23">
        <v>5</v>
      </c>
      <c r="F23" t="str">
        <f>[1]Sheet1!$I$39</f>
        <v>management reports for different actions in same phase</v>
      </c>
    </row>
    <row r="24" spans="1:6" x14ac:dyDescent="0.25">
      <c r="A24">
        <f t="shared" si="1"/>
        <v>40</v>
      </c>
      <c r="B24">
        <f>[1]Sheet1!$B$39</f>
        <v>251</v>
      </c>
      <c r="C24" s="1">
        <v>228552</v>
      </c>
      <c r="D24">
        <v>0</v>
      </c>
      <c r="E24">
        <v>6</v>
      </c>
      <c r="F24" t="str">
        <f>[1]Sheet1!$I$39</f>
        <v>management reports for different actions in same phase</v>
      </c>
    </row>
    <row r="25" spans="1:6" x14ac:dyDescent="0.25">
      <c r="A25">
        <f t="shared" si="1"/>
        <v>41</v>
      </c>
      <c r="B25">
        <f>[1]Sheet1!$B$39</f>
        <v>251</v>
      </c>
      <c r="C25" s="1">
        <v>228613</v>
      </c>
      <c r="D25">
        <v>1</v>
      </c>
      <c r="E25">
        <v>7</v>
      </c>
      <c r="F25" t="str">
        <f>[1]Sheet1!$I$39</f>
        <v>management reports for different actions in same phase</v>
      </c>
    </row>
    <row r="26" spans="1:6" x14ac:dyDescent="0.25">
      <c r="A26">
        <f t="shared" si="1"/>
        <v>42</v>
      </c>
      <c r="B26">
        <f>[1]Sheet1!$B$39</f>
        <v>251</v>
      </c>
      <c r="C26" s="1">
        <v>228613</v>
      </c>
      <c r="D26">
        <v>1</v>
      </c>
      <c r="E26">
        <v>8</v>
      </c>
      <c r="F26" t="str">
        <f>[1]Sheet1!$I$39</f>
        <v>management reports for different actions in same phase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manage-test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Dumoulin, Christine Elise</cp:lastModifiedBy>
  <dcterms:created xsi:type="dcterms:W3CDTF">2020-12-10T23:32:52Z</dcterms:created>
  <dcterms:modified xsi:type="dcterms:W3CDTF">2020-12-14T22:45:52Z</dcterms:modified>
</cp:coreProperties>
</file>