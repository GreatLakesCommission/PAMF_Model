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dumoulin\Desktop\pamf-model-2021\src\review-reports\test-cases\"/>
    </mc:Choice>
  </mc:AlternateContent>
  <xr:revisionPtr revIDLastSave="0" documentId="13_ncr:1_{8F73F921-9000-4497-B1A2-C05A8B8BAA5A}" xr6:coauthVersionLast="45" xr6:coauthVersionMax="45" xr10:uidLastSave="{00000000-0000-0000-0000-000000000000}"/>
  <bookViews>
    <workbookView xWindow="0" yWindow="1560" windowWidth="20490" windowHeight="7875" xr2:uid="{00000000-000D-0000-FFFF-FFFF00000000}"/>
  </bookViews>
  <sheets>
    <sheet name="manage_issuesTEST" sheetId="1" r:id="rId1"/>
  </sheets>
  <externalReferences>
    <externalReference r:id="rId2"/>
  </externalReferenc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46" i="1" l="1"/>
  <c r="A9" i="1"/>
  <c r="B9" i="1"/>
  <c r="C3" i="1" l="1"/>
  <c r="D3" i="1"/>
  <c r="E3" i="1"/>
  <c r="C4" i="1"/>
  <c r="D4" i="1"/>
  <c r="E4" i="1"/>
  <c r="C5" i="1"/>
  <c r="D5" i="1"/>
  <c r="E5" i="1"/>
  <c r="C6" i="1"/>
  <c r="D6" i="1"/>
  <c r="E6" i="1"/>
  <c r="C7" i="1"/>
  <c r="D7" i="1"/>
  <c r="E7" i="1"/>
  <c r="C8" i="1"/>
  <c r="D8" i="1"/>
  <c r="E8" i="1"/>
  <c r="C9" i="1"/>
  <c r="D9" i="1"/>
  <c r="E9" i="1"/>
  <c r="C10" i="1"/>
  <c r="D10" i="1"/>
  <c r="E10" i="1"/>
  <c r="C11" i="1"/>
  <c r="D11" i="1"/>
  <c r="E11" i="1"/>
  <c r="C12" i="1"/>
  <c r="D12" i="1"/>
  <c r="E12" i="1"/>
  <c r="C13" i="1"/>
  <c r="D13" i="1"/>
  <c r="E13" i="1"/>
  <c r="C14" i="1"/>
  <c r="D14" i="1"/>
  <c r="E14" i="1"/>
  <c r="C15" i="1"/>
  <c r="D15" i="1"/>
  <c r="E15" i="1"/>
  <c r="C16" i="1"/>
  <c r="D16" i="1"/>
  <c r="E16" i="1"/>
  <c r="C17" i="1"/>
  <c r="D17" i="1"/>
  <c r="E17" i="1"/>
  <c r="C18" i="1"/>
  <c r="D18" i="1"/>
  <c r="E18" i="1"/>
  <c r="C19" i="1"/>
  <c r="D19" i="1"/>
  <c r="E19" i="1"/>
  <c r="C20" i="1"/>
  <c r="D20" i="1"/>
  <c r="E20" i="1"/>
  <c r="C21" i="1"/>
  <c r="D21" i="1"/>
  <c r="E21" i="1"/>
  <c r="C22" i="1"/>
  <c r="D22" i="1"/>
  <c r="E22" i="1"/>
  <c r="C23" i="1"/>
  <c r="D23" i="1"/>
  <c r="E23" i="1"/>
  <c r="C24" i="1"/>
  <c r="D24" i="1"/>
  <c r="E24" i="1"/>
  <c r="C25" i="1"/>
  <c r="D25" i="1"/>
  <c r="E25" i="1"/>
  <c r="C26" i="1"/>
  <c r="D26" i="1"/>
  <c r="E26" i="1"/>
  <c r="C27" i="1"/>
  <c r="D27" i="1"/>
  <c r="E27" i="1"/>
  <c r="C28" i="1"/>
  <c r="D28" i="1"/>
  <c r="E28" i="1"/>
  <c r="C29" i="1"/>
  <c r="D29" i="1"/>
  <c r="E29" i="1"/>
  <c r="C30" i="1"/>
  <c r="D30" i="1"/>
  <c r="E30" i="1"/>
  <c r="C31" i="1"/>
  <c r="D31" i="1"/>
  <c r="E31" i="1"/>
  <c r="C32" i="1"/>
  <c r="D32" i="1"/>
  <c r="E32" i="1"/>
  <c r="C33" i="1"/>
  <c r="D33" i="1"/>
  <c r="E33" i="1"/>
  <c r="C34" i="1"/>
  <c r="D34" i="1"/>
  <c r="E34" i="1"/>
  <c r="C35" i="1"/>
  <c r="D35" i="1"/>
  <c r="E35" i="1"/>
  <c r="C36" i="1"/>
  <c r="D36" i="1"/>
  <c r="E36" i="1"/>
  <c r="C37" i="1"/>
  <c r="D37" i="1"/>
  <c r="E37" i="1"/>
  <c r="C38" i="1"/>
  <c r="D38" i="1"/>
  <c r="E38" i="1"/>
  <c r="C39" i="1"/>
  <c r="D39" i="1"/>
  <c r="E39" i="1"/>
  <c r="C40" i="1"/>
  <c r="D40" i="1"/>
  <c r="E40" i="1"/>
  <c r="C41" i="1"/>
  <c r="D41" i="1"/>
  <c r="E41" i="1"/>
  <c r="C42" i="1"/>
  <c r="D42" i="1"/>
  <c r="E42" i="1"/>
  <c r="C43" i="1"/>
  <c r="D43" i="1"/>
  <c r="E43" i="1"/>
  <c r="C44" i="1"/>
  <c r="D44" i="1"/>
  <c r="E44" i="1"/>
  <c r="C45" i="1"/>
  <c r="D45" i="1"/>
  <c r="E45" i="1"/>
  <c r="C46" i="1"/>
  <c r="D46" i="1"/>
  <c r="E46" i="1"/>
  <c r="C47" i="1"/>
  <c r="D47" i="1"/>
  <c r="E47" i="1"/>
  <c r="E2" i="1"/>
  <c r="D2" i="1"/>
  <c r="C2" i="1"/>
  <c r="A3" i="1"/>
  <c r="B3" i="1"/>
  <c r="A4" i="1"/>
  <c r="B4" i="1"/>
  <c r="A5" i="1"/>
  <c r="B5" i="1"/>
  <c r="A6" i="1"/>
  <c r="B6" i="1"/>
  <c r="A7" i="1"/>
  <c r="B7" i="1"/>
  <c r="A8" i="1"/>
  <c r="B8" i="1"/>
  <c r="A10" i="1"/>
  <c r="B10" i="1"/>
  <c r="A11" i="1"/>
  <c r="B11" i="1"/>
  <c r="A12" i="1"/>
  <c r="B12" i="1"/>
  <c r="A13" i="1"/>
  <c r="B13" i="1"/>
  <c r="A14" i="1"/>
  <c r="B14" i="1"/>
  <c r="A15" i="1"/>
  <c r="B15" i="1"/>
  <c r="A16" i="1"/>
  <c r="B16" i="1"/>
  <c r="A17" i="1"/>
  <c r="B17" i="1"/>
  <c r="A18" i="1"/>
  <c r="B18" i="1"/>
  <c r="A19" i="1"/>
  <c r="B19" i="1"/>
  <c r="A20" i="1"/>
  <c r="B20" i="1"/>
  <c r="A21" i="1"/>
  <c r="B21" i="1"/>
  <c r="A22" i="1"/>
  <c r="B22" i="1"/>
  <c r="A23" i="1"/>
  <c r="B23" i="1"/>
  <c r="A24" i="1"/>
  <c r="B24" i="1"/>
  <c r="A25" i="1"/>
  <c r="B25" i="1"/>
  <c r="A26" i="1"/>
  <c r="B26" i="1"/>
  <c r="A27" i="1"/>
  <c r="B27" i="1"/>
  <c r="A28" i="1"/>
  <c r="B28" i="1"/>
  <c r="A29" i="1"/>
  <c r="B29" i="1"/>
  <c r="A30" i="1"/>
  <c r="B30" i="1"/>
  <c r="A31" i="1"/>
  <c r="B31" i="1"/>
  <c r="A32" i="1"/>
  <c r="B32" i="1"/>
  <c r="A33" i="1"/>
  <c r="B33" i="1"/>
  <c r="A34" i="1"/>
  <c r="B34" i="1"/>
  <c r="A35" i="1"/>
  <c r="B35" i="1"/>
  <c r="A36" i="1"/>
  <c r="B36" i="1"/>
  <c r="A37" i="1"/>
  <c r="B37" i="1"/>
  <c r="A38" i="1"/>
  <c r="B38" i="1"/>
  <c r="A39" i="1"/>
  <c r="B39" i="1"/>
  <c r="A40" i="1"/>
  <c r="B40" i="1"/>
  <c r="A41" i="1"/>
  <c r="B41" i="1"/>
  <c r="A42" i="1"/>
  <c r="B42" i="1"/>
  <c r="A43" i="1"/>
  <c r="B43" i="1"/>
  <c r="A44" i="1"/>
  <c r="B44" i="1"/>
  <c r="A45" i="1"/>
  <c r="B45" i="1"/>
  <c r="A47" i="1"/>
  <c r="B2" i="1"/>
  <c r="A2" i="1"/>
</calcChain>
</file>

<file path=xl/sharedStrings.xml><?xml version="1.0" encoding="utf-8"?>
<sst xmlns="http://schemas.openxmlformats.org/spreadsheetml/2006/main" count="157" uniqueCount="26">
  <si>
    <t>testnote</t>
  </si>
  <si>
    <t>expected_behavior</t>
  </si>
  <si>
    <t>treatmentid</t>
  </si>
  <si>
    <t>munitid</t>
  </si>
  <si>
    <t>manage_year</t>
  </si>
  <si>
    <t>year_mismatch</t>
  </si>
  <si>
    <t>has_notes</t>
  </si>
  <si>
    <t>out_of_phase</t>
  </si>
  <si>
    <t>short_flood</t>
  </si>
  <si>
    <t>coordreject_model</t>
  </si>
  <si>
    <t>coordreject_cost</t>
  </si>
  <si>
    <t>coordreject_amu</t>
  </si>
  <si>
    <t>coordreject_note</t>
  </si>
  <si>
    <t>reviewed_by</t>
  </si>
  <si>
    <t>reviewed_date</t>
  </si>
  <si>
    <t>NA</t>
  </si>
  <si>
    <t>long_flood</t>
  </si>
  <si>
    <t>hydro_mismatch</t>
  </si>
  <si>
    <t>low_coverage</t>
  </si>
  <si>
    <t>grow_after_monitor</t>
  </si>
  <si>
    <t>wrongyear_man</t>
  </si>
  <si>
    <t>tloc_before_monitor</t>
  </si>
  <si>
    <t>does not display</t>
  </si>
  <si>
    <t>display</t>
  </si>
  <si>
    <t>test</t>
  </si>
  <si>
    <t>coordinator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</si>
</sst>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erged_manageTEST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rged_manageTEST"/>
    </sheetNames>
    <sheetDataSet>
      <sheetData sheetId="0">
        <row r="2">
          <cell r="A2" t="str">
            <v>Already has decision: keep</v>
          </cell>
          <cell r="B2" t="str">
            <v>does not display</v>
          </cell>
          <cell r="C2">
            <v>1</v>
          </cell>
          <cell r="D2">
            <v>1</v>
          </cell>
          <cell r="F2">
            <v>2017</v>
          </cell>
        </row>
        <row r="3">
          <cell r="A3" t="str">
            <v>Already has decision: reject from transition matrix update</v>
          </cell>
          <cell r="B3" t="str">
            <v>does not display</v>
          </cell>
          <cell r="C3">
            <v>2</v>
          </cell>
          <cell r="D3">
            <v>1</v>
          </cell>
          <cell r="F3">
            <v>2018</v>
          </cell>
        </row>
        <row r="4">
          <cell r="A4" t="str">
            <v>Already has decision: reject from cost calculations</v>
          </cell>
          <cell r="B4" t="str">
            <v>does not display</v>
          </cell>
          <cell r="C4">
            <v>3</v>
          </cell>
          <cell r="D4">
            <v>1</v>
          </cell>
          <cell r="F4">
            <v>2018</v>
          </cell>
        </row>
        <row r="5">
          <cell r="A5" t="str">
            <v>Already has decision: reject from annual summary</v>
          </cell>
          <cell r="B5" t="str">
            <v>does not display</v>
          </cell>
          <cell r="C5">
            <v>4</v>
          </cell>
          <cell r="D5">
            <v>2</v>
          </cell>
          <cell r="F5">
            <v>2017</v>
          </cell>
        </row>
        <row r="6">
          <cell r="A6" t="str">
            <v>Already has decision: reject from all model sections</v>
          </cell>
          <cell r="B6" t="str">
            <v>does not display</v>
          </cell>
          <cell r="C6">
            <v>5</v>
          </cell>
          <cell r="D6">
            <v>2</v>
          </cell>
          <cell r="F6">
            <v>2018</v>
          </cell>
        </row>
        <row r="7">
          <cell r="A7" t="str">
            <v>No decisions and no flagged issues</v>
          </cell>
          <cell r="B7" t="str">
            <v>does not display</v>
          </cell>
          <cell r="C7">
            <v>6</v>
          </cell>
          <cell r="D7">
            <v>2</v>
          </cell>
          <cell r="F7">
            <v>2018</v>
          </cell>
        </row>
        <row r="8">
          <cell r="A8" t="str">
            <v>wrongyear_man is TRUE</v>
          </cell>
          <cell r="B8" t="str">
            <v>displays with year not in current cycle message</v>
          </cell>
          <cell r="C8">
            <v>7</v>
          </cell>
          <cell r="D8">
            <v>3</v>
          </cell>
          <cell r="F8">
            <v>2020</v>
          </cell>
        </row>
        <row r="9">
          <cell r="A9" t="str">
            <v>year_mismatch is TRUE (deprecated)</v>
          </cell>
          <cell r="B9" t="str">
            <v>does not display: year_mismatch is no longer used since dateentered was introduced</v>
          </cell>
          <cell r="C9">
            <v>8</v>
          </cell>
          <cell r="D9">
            <v>4</v>
          </cell>
          <cell r="F9">
            <v>2018</v>
          </cell>
        </row>
        <row r="10">
          <cell r="A10" t="str">
            <v>out_of_phase is TRUE</v>
          </cell>
          <cell r="B10" t="str">
            <v>does not display</v>
          </cell>
          <cell r="C10">
            <v>9</v>
          </cell>
          <cell r="D10">
            <v>4</v>
          </cell>
          <cell r="F10">
            <v>2017</v>
          </cell>
        </row>
        <row r="11">
          <cell r="A11" t="str">
            <v>short_flood is TRUE</v>
          </cell>
          <cell r="B11" t="str">
            <v>does not display</v>
          </cell>
          <cell r="C11">
            <v>10</v>
          </cell>
          <cell r="D11">
            <v>4</v>
          </cell>
          <cell r="F11">
            <v>2018</v>
          </cell>
        </row>
        <row r="12">
          <cell r="A12" t="str">
            <v>has_notes is TRUE: glyphnotes</v>
          </cell>
          <cell r="B12" t="str">
            <v>displays with has notes message</v>
          </cell>
          <cell r="C12">
            <v>11</v>
          </cell>
          <cell r="D12">
            <v>5</v>
          </cell>
          <cell r="F12">
            <v>2018</v>
          </cell>
        </row>
        <row r="13">
          <cell r="A13" t="str">
            <v>has_notes is TRUE: glyphplusnotes</v>
          </cell>
          <cell r="B13" t="str">
            <v>displays with has notes message</v>
          </cell>
          <cell r="C13">
            <v>12</v>
          </cell>
          <cell r="D13">
            <v>5</v>
          </cell>
          <cell r="F13">
            <v>2017</v>
          </cell>
        </row>
        <row r="14">
          <cell r="A14" t="str">
            <v>has_notes is TRUE: imaznotes</v>
          </cell>
          <cell r="B14" t="str">
            <v>displays with has notes message</v>
          </cell>
          <cell r="C14">
            <v>13</v>
          </cell>
          <cell r="D14">
            <v>5</v>
          </cell>
          <cell r="F14">
            <v>2018</v>
          </cell>
        </row>
        <row r="15">
          <cell r="A15" t="str">
            <v>has_notes is TRUE: prenotes</v>
          </cell>
          <cell r="B15" t="str">
            <v>displays with has notes message</v>
          </cell>
          <cell r="C15">
            <v>14</v>
          </cell>
          <cell r="D15">
            <v>6</v>
          </cell>
          <cell r="F15">
            <v>2018</v>
          </cell>
        </row>
        <row r="16">
          <cell r="A16" t="str">
            <v>has_notes is TRUE: mechnotes</v>
          </cell>
          <cell r="B16" t="str">
            <v>displays with has notes message</v>
          </cell>
          <cell r="C16">
            <v>15</v>
          </cell>
          <cell r="D16">
            <v>6</v>
          </cell>
          <cell r="F16">
            <v>2017</v>
          </cell>
        </row>
        <row r="17">
          <cell r="A17" t="str">
            <v>has_notes is TRUE: removenotes</v>
          </cell>
          <cell r="B17" t="str">
            <v>displays with has notes message</v>
          </cell>
          <cell r="C17">
            <v>16</v>
          </cell>
          <cell r="D17">
            <v>6</v>
          </cell>
          <cell r="F17">
            <v>2018</v>
          </cell>
        </row>
        <row r="18">
          <cell r="A18" t="str">
            <v>has_notes is TRUE: cutnotes</v>
          </cell>
          <cell r="B18" t="str">
            <v>displays with has notes message</v>
          </cell>
          <cell r="C18">
            <v>17</v>
          </cell>
          <cell r="D18">
            <v>7</v>
          </cell>
          <cell r="F18">
            <v>2018</v>
          </cell>
        </row>
        <row r="19">
          <cell r="A19" t="str">
            <v>has_notes is TRUE: spadenotes</v>
          </cell>
          <cell r="B19" t="str">
            <v>displays with has notes message</v>
          </cell>
          <cell r="C19">
            <v>18</v>
          </cell>
          <cell r="D19">
            <v>7</v>
          </cell>
          <cell r="F19">
            <v>2017</v>
          </cell>
        </row>
        <row r="20">
          <cell r="A20" t="str">
            <v>has_notes is TRUE: floodnotes</v>
          </cell>
          <cell r="B20" t="str">
            <v>displays with has notes message</v>
          </cell>
          <cell r="C20">
            <v>19</v>
          </cell>
          <cell r="D20">
            <v>7</v>
          </cell>
          <cell r="F20">
            <v>2018</v>
          </cell>
        </row>
        <row r="21">
          <cell r="A21" t="str">
            <v>has_notes is TRUE: restnotes</v>
          </cell>
          <cell r="B21" t="str">
            <v>displays with has notes message</v>
          </cell>
          <cell r="C21">
            <v>20</v>
          </cell>
          <cell r="D21">
            <v>8</v>
          </cell>
          <cell r="F21">
            <v>2018</v>
          </cell>
        </row>
        <row r="22">
          <cell r="A22" t="str">
            <v>has_notes is TRUE: other</v>
          </cell>
          <cell r="B22" t="str">
            <v>displays with has notes message</v>
          </cell>
          <cell r="C22">
            <v>21</v>
          </cell>
          <cell r="D22">
            <v>8</v>
          </cell>
          <cell r="F22">
            <v>2017</v>
          </cell>
        </row>
        <row r="23">
          <cell r="A23" t="str">
            <v>has_notes is TRUE: othernotes</v>
          </cell>
          <cell r="B23" t="str">
            <v>displays with has notes message</v>
          </cell>
          <cell r="C23">
            <v>22</v>
          </cell>
          <cell r="D23">
            <v>8</v>
          </cell>
          <cell r="F23">
            <v>2018</v>
          </cell>
        </row>
        <row r="24">
          <cell r="A24" t="str">
            <v>has_notes is TRUE: cutdescribe</v>
          </cell>
          <cell r="B24" t="str">
            <v>displays with has notes message</v>
          </cell>
          <cell r="C24">
            <v>23</v>
          </cell>
          <cell r="D24">
            <v>9</v>
          </cell>
          <cell r="F24">
            <v>2018</v>
          </cell>
        </row>
        <row r="25">
          <cell r="A25" t="str">
            <v>has_notes is TRUE: predescribe</v>
          </cell>
          <cell r="B25" t="str">
            <v>displays with has notes message</v>
          </cell>
          <cell r="C25">
            <v>24</v>
          </cell>
          <cell r="D25">
            <v>9</v>
          </cell>
          <cell r="F25">
            <v>2017</v>
          </cell>
        </row>
        <row r="26">
          <cell r="A26" t="str">
            <v>has_notes is TRUE: glyphsurfactantused</v>
          </cell>
          <cell r="B26" t="str">
            <v>displays with has notes message</v>
          </cell>
          <cell r="C26">
            <v>25</v>
          </cell>
          <cell r="D26">
            <v>9</v>
          </cell>
          <cell r="F26">
            <v>2018</v>
          </cell>
        </row>
        <row r="27">
          <cell r="A27" t="str">
            <v>has_notes is TRUE: glyphplussurfactantused</v>
          </cell>
          <cell r="B27" t="str">
            <v>displays with has notes message</v>
          </cell>
          <cell r="C27">
            <v>26</v>
          </cell>
          <cell r="D27">
            <v>10</v>
          </cell>
          <cell r="F27">
            <v>2018</v>
          </cell>
        </row>
        <row r="28">
          <cell r="A28" t="str">
            <v>has_notes is TRUE: imazsurfactantused</v>
          </cell>
          <cell r="B28" t="str">
            <v>displays with has notes message</v>
          </cell>
          <cell r="C28">
            <v>27</v>
          </cell>
          <cell r="D28">
            <v>10</v>
          </cell>
          <cell r="F28">
            <v>2017</v>
          </cell>
        </row>
        <row r="29">
          <cell r="A29" t="str">
            <v>has_notes is TRUE: glyphproductother</v>
          </cell>
          <cell r="B29" t="str">
            <v>displays with has notes message</v>
          </cell>
          <cell r="C29">
            <v>28</v>
          </cell>
          <cell r="D29">
            <v>10</v>
          </cell>
          <cell r="F29">
            <v>2018</v>
          </cell>
        </row>
        <row r="30">
          <cell r="A30" t="str">
            <v>has_notes is TRUE: glyphplusproductother</v>
          </cell>
          <cell r="B30" t="str">
            <v>displays with has notes message</v>
          </cell>
          <cell r="C30">
            <v>29</v>
          </cell>
          <cell r="D30">
            <v>11</v>
          </cell>
          <cell r="F30">
            <v>2018</v>
          </cell>
        </row>
        <row r="31">
          <cell r="A31" t="str">
            <v>has_notes is TRUE: imazproductother</v>
          </cell>
          <cell r="B31" t="str">
            <v>displays with has notes message</v>
          </cell>
          <cell r="C31">
            <v>30</v>
          </cell>
          <cell r="D31">
            <v>11</v>
          </cell>
          <cell r="F31">
            <v>2017</v>
          </cell>
        </row>
        <row r="32">
          <cell r="A32" t="str">
            <v>has_notes is TRUE: glyphplusaddedother</v>
          </cell>
          <cell r="B32" t="str">
            <v>displays with has notes message</v>
          </cell>
          <cell r="C32">
            <v>31</v>
          </cell>
          <cell r="D32">
            <v>11</v>
          </cell>
          <cell r="F32">
            <v>2018</v>
          </cell>
        </row>
        <row r="33">
          <cell r="A33" t="str">
            <v>has_notes is TRUE: glyphequipmodel</v>
          </cell>
          <cell r="B33" t="str">
            <v>displays with has notes message</v>
          </cell>
          <cell r="C33">
            <v>32</v>
          </cell>
          <cell r="D33">
            <v>12</v>
          </cell>
          <cell r="F33">
            <v>2018</v>
          </cell>
        </row>
        <row r="34">
          <cell r="A34" t="str">
            <v>has_notes is TRUE: glyphplusequipmodel</v>
          </cell>
          <cell r="B34" t="str">
            <v>displays with has notes message</v>
          </cell>
          <cell r="C34">
            <v>33</v>
          </cell>
          <cell r="D34">
            <v>12</v>
          </cell>
          <cell r="F34">
            <v>2017</v>
          </cell>
        </row>
        <row r="35">
          <cell r="A35" t="str">
            <v>has_notes is TRUE: imazequipmodel</v>
          </cell>
          <cell r="B35" t="str">
            <v>displays with has notes message</v>
          </cell>
          <cell r="C35">
            <v>34</v>
          </cell>
          <cell r="D35">
            <v>12</v>
          </cell>
          <cell r="F35">
            <v>2018</v>
          </cell>
        </row>
        <row r="36">
          <cell r="A36" t="str">
            <v>has_notes is TRUE: removeequipmodel</v>
          </cell>
          <cell r="B36" t="str">
            <v>displays with has notes message</v>
          </cell>
          <cell r="C36">
            <v>35</v>
          </cell>
          <cell r="D36">
            <v>13</v>
          </cell>
          <cell r="F36">
            <v>2018</v>
          </cell>
        </row>
        <row r="37">
          <cell r="A37" t="str">
            <v>has_notes is TRUE: mechequipmodel</v>
          </cell>
          <cell r="B37" t="str">
            <v>displays with has notes message</v>
          </cell>
          <cell r="C37">
            <v>36</v>
          </cell>
          <cell r="D37">
            <v>13</v>
          </cell>
          <cell r="F37">
            <v>2017</v>
          </cell>
        </row>
        <row r="38">
          <cell r="A38" t="str">
            <v>has_notes is TRUE: cutequipmodel</v>
          </cell>
          <cell r="B38" t="str">
            <v>displays with has notes message</v>
          </cell>
          <cell r="C38">
            <v>37</v>
          </cell>
          <cell r="D38">
            <v>13</v>
          </cell>
          <cell r="F38">
            <v>2018</v>
          </cell>
        </row>
        <row r="39">
          <cell r="A39" t="str">
            <v>has_notes is TRUE: preequipmodel</v>
          </cell>
          <cell r="B39" t="str">
            <v>displays with has notes message</v>
          </cell>
          <cell r="C39">
            <v>38</v>
          </cell>
          <cell r="D39">
            <v>14</v>
          </cell>
          <cell r="F39">
            <v>2018</v>
          </cell>
        </row>
        <row r="40">
          <cell r="A40" t="str">
            <v>has_notes is TRUE: followdescribe</v>
          </cell>
          <cell r="B40" t="str">
            <v>displays with has notes message</v>
          </cell>
          <cell r="C40">
            <v>39</v>
          </cell>
          <cell r="D40">
            <v>14</v>
          </cell>
          <cell r="F40">
            <v>2017</v>
          </cell>
        </row>
        <row r="41">
          <cell r="A41" t="str">
            <v>long_flood is TRUE</v>
          </cell>
          <cell r="B41" t="str">
            <v>displays with long flood message</v>
          </cell>
          <cell r="C41">
            <v>40</v>
          </cell>
          <cell r="D41">
            <v>14</v>
          </cell>
          <cell r="F41">
            <v>2018</v>
          </cell>
        </row>
        <row r="42">
          <cell r="A42" t="str">
            <v>hydro_mismatch is TRUE</v>
          </cell>
          <cell r="B42" t="str">
            <v>displays with hydro mismatch message</v>
          </cell>
          <cell r="C42">
            <v>41</v>
          </cell>
          <cell r="D42">
            <v>15</v>
          </cell>
          <cell r="F42">
            <v>2017</v>
          </cell>
        </row>
        <row r="43">
          <cell r="A43" t="str">
            <v>low_coverage is TRUE</v>
          </cell>
          <cell r="B43" t="str">
            <v>does not display</v>
          </cell>
          <cell r="C43">
            <v>42</v>
          </cell>
          <cell r="D43">
            <v>15</v>
          </cell>
          <cell r="F43">
            <v>2018</v>
          </cell>
        </row>
        <row r="44">
          <cell r="A44" t="str">
            <v>low_coverage is TRUE</v>
          </cell>
          <cell r="B44" t="str">
            <v>does not display</v>
          </cell>
          <cell r="C44">
            <v>43</v>
          </cell>
          <cell r="D44">
            <v>15</v>
          </cell>
          <cell r="F44">
            <v>2018</v>
          </cell>
        </row>
        <row r="45">
          <cell r="A45" t="str">
            <v>low_coverage is TRUE</v>
          </cell>
          <cell r="B45" t="str">
            <v>does not display</v>
          </cell>
          <cell r="C45">
            <v>44</v>
          </cell>
          <cell r="D45">
            <v>16</v>
          </cell>
          <cell r="F45">
            <v>2017</v>
          </cell>
        </row>
        <row r="46">
          <cell r="A46" t="str">
            <v>grow_after_monitor is TRUE (deprecated)</v>
          </cell>
          <cell r="C46">
            <v>45</v>
          </cell>
          <cell r="D46">
            <v>16</v>
          </cell>
          <cell r="F46">
            <v>2018</v>
          </cell>
        </row>
        <row r="47">
          <cell r="A47" t="str">
            <v>tloc_before_monitor is TRUE (deprecated)</v>
          </cell>
          <cell r="C47">
            <v>46</v>
          </cell>
          <cell r="D47">
            <v>16</v>
          </cell>
          <cell r="F47">
            <v>2018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7"/>
  <sheetViews>
    <sheetView tabSelected="1" workbookViewId="0">
      <pane xSplit="1" topLeftCell="B1" activePane="topRight" state="frozen"/>
      <selection pane="topRight"/>
    </sheetView>
  </sheetViews>
  <sheetFormatPr defaultRowHeight="15" x14ac:dyDescent="0.25"/>
  <cols>
    <col min="1" max="1" width="46.140625" customWidth="1"/>
    <col min="2" max="2" width="29.85546875" customWidth="1"/>
    <col min="7" max="7" width="10.42578125" customWidth="1"/>
    <col min="18" max="18" width="11.5703125" customWidth="1"/>
    <col min="19" max="19" width="15.42578125" customWidth="1"/>
    <col min="20" max="20" width="15.7109375" customWidth="1"/>
    <col min="21" max="21" width="14.28515625" customWidth="1"/>
    <col min="22" max="22" width="10.42578125" style="1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23</v>
      </c>
      <c r="G1" t="s">
        <v>20</v>
      </c>
      <c r="H1" t="s">
        <v>5</v>
      </c>
      <c r="I1" t="s">
        <v>6</v>
      </c>
      <c r="J1" t="s">
        <v>7</v>
      </c>
      <c r="K1" t="s">
        <v>8</v>
      </c>
      <c r="L1" t="s">
        <v>16</v>
      </c>
      <c r="M1" t="s">
        <v>17</v>
      </c>
      <c r="N1" t="s">
        <v>18</v>
      </c>
      <c r="O1" t="s">
        <v>19</v>
      </c>
      <c r="P1" t="s">
        <v>21</v>
      </c>
      <c r="Q1" t="s">
        <v>9</v>
      </c>
      <c r="R1" t="s">
        <v>10</v>
      </c>
      <c r="S1" t="s">
        <v>11</v>
      </c>
      <c r="T1" t="s">
        <v>12</v>
      </c>
      <c r="U1" t="s">
        <v>13</v>
      </c>
      <c r="V1" s="1" t="s">
        <v>14</v>
      </c>
    </row>
    <row r="2" spans="1:22" x14ac:dyDescent="0.25">
      <c r="A2" t="str">
        <f>[1]merged_manageTEST!$A2</f>
        <v>Already has decision: keep</v>
      </c>
      <c r="B2" t="str">
        <f>[1]merged_manageTEST!$B2</f>
        <v>does not display</v>
      </c>
      <c r="C2">
        <f>[1]merged_manageTEST!$C2</f>
        <v>1</v>
      </c>
      <c r="D2">
        <f>[1]merged_manageTEST!$D2</f>
        <v>1</v>
      </c>
      <c r="E2">
        <f>[1]merged_manageTEST!$F2</f>
        <v>2017</v>
      </c>
      <c r="F2" t="b">
        <v>1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s">
        <v>24</v>
      </c>
      <c r="U2" t="s">
        <v>25</v>
      </c>
      <c r="V2" s="1">
        <v>43313</v>
      </c>
    </row>
    <row r="3" spans="1:22" x14ac:dyDescent="0.25">
      <c r="A3" t="str">
        <f>[1]merged_manageTEST!$A3</f>
        <v>Already has decision: reject from transition matrix update</v>
      </c>
      <c r="B3" t="str">
        <f>[1]merged_manageTEST!$B3</f>
        <v>does not display</v>
      </c>
      <c r="C3">
        <f>[1]merged_manageTEST!$C3</f>
        <v>2</v>
      </c>
      <c r="D3">
        <f>[1]merged_manageTEST!$D3</f>
        <v>1</v>
      </c>
      <c r="E3">
        <f>[1]merged_manageTEST!$F3</f>
        <v>2018</v>
      </c>
      <c r="F3" t="b">
        <v>1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1</v>
      </c>
      <c r="R3" t="b">
        <v>0</v>
      </c>
      <c r="S3" t="b">
        <v>0</v>
      </c>
      <c r="T3" t="s">
        <v>24</v>
      </c>
      <c r="U3" t="s">
        <v>25</v>
      </c>
      <c r="V3" s="1">
        <v>43313</v>
      </c>
    </row>
    <row r="4" spans="1:22" x14ac:dyDescent="0.25">
      <c r="A4" t="str">
        <f>[1]merged_manageTEST!$A4</f>
        <v>Already has decision: reject from cost calculations</v>
      </c>
      <c r="B4" t="str">
        <f>[1]merged_manageTEST!$B4</f>
        <v>does not display</v>
      </c>
      <c r="C4">
        <f>[1]merged_manageTEST!$C4</f>
        <v>3</v>
      </c>
      <c r="D4">
        <f>[1]merged_manageTEST!$D4</f>
        <v>1</v>
      </c>
      <c r="E4">
        <f>[1]merged_manageTEST!$F4</f>
        <v>2018</v>
      </c>
      <c r="F4" t="b">
        <v>1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1</v>
      </c>
      <c r="S4" t="b">
        <v>0</v>
      </c>
      <c r="T4" t="s">
        <v>24</v>
      </c>
      <c r="U4" t="s">
        <v>25</v>
      </c>
      <c r="V4" s="1">
        <v>43313</v>
      </c>
    </row>
    <row r="5" spans="1:22" x14ac:dyDescent="0.25">
      <c r="A5" t="str">
        <f>[1]merged_manageTEST!$A5</f>
        <v>Already has decision: reject from annual summary</v>
      </c>
      <c r="B5" t="str">
        <f>[1]merged_manageTEST!$B5</f>
        <v>does not display</v>
      </c>
      <c r="C5">
        <f>[1]merged_manageTEST!$C5</f>
        <v>4</v>
      </c>
      <c r="D5">
        <f>[1]merged_manageTEST!$D5</f>
        <v>2</v>
      </c>
      <c r="E5">
        <f>[1]merged_manageTEST!$F5</f>
        <v>2017</v>
      </c>
      <c r="F5" t="b">
        <v>1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1</v>
      </c>
      <c r="T5" t="s">
        <v>24</v>
      </c>
      <c r="U5" t="s">
        <v>25</v>
      </c>
      <c r="V5" s="1">
        <v>43313</v>
      </c>
    </row>
    <row r="6" spans="1:22" x14ac:dyDescent="0.25">
      <c r="A6" t="str">
        <f>[1]merged_manageTEST!$A6</f>
        <v>Already has decision: reject from all model sections</v>
      </c>
      <c r="B6" t="str">
        <f>[1]merged_manageTEST!$B6</f>
        <v>does not display</v>
      </c>
      <c r="C6">
        <f>[1]merged_manageTEST!$C6</f>
        <v>5</v>
      </c>
      <c r="D6">
        <f>[1]merged_manageTEST!$D6</f>
        <v>2</v>
      </c>
      <c r="E6">
        <f>[1]merged_manageTEST!$F6</f>
        <v>2018</v>
      </c>
      <c r="F6" t="b">
        <v>1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1</v>
      </c>
      <c r="R6" t="b">
        <v>1</v>
      </c>
      <c r="S6" t="b">
        <v>1</v>
      </c>
      <c r="T6" t="s">
        <v>24</v>
      </c>
      <c r="U6" t="s">
        <v>25</v>
      </c>
      <c r="V6" s="1">
        <v>43313</v>
      </c>
    </row>
    <row r="7" spans="1:22" x14ac:dyDescent="0.25">
      <c r="A7" t="str">
        <f>[1]merged_manageTEST!$A7</f>
        <v>No decisions and no flagged issues</v>
      </c>
      <c r="B7" t="str">
        <f>[1]merged_manageTEST!$B7</f>
        <v>does not display</v>
      </c>
      <c r="C7">
        <f>[1]merged_manageTEST!$C7</f>
        <v>6</v>
      </c>
      <c r="D7">
        <f>[1]merged_manageTEST!$D7</f>
        <v>2</v>
      </c>
      <c r="E7">
        <f>[1]merged_manageTEST!$F7</f>
        <v>2018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s">
        <v>15</v>
      </c>
      <c r="U7" t="s">
        <v>15</v>
      </c>
      <c r="V7" s="1" t="s">
        <v>15</v>
      </c>
    </row>
    <row r="8" spans="1:22" x14ac:dyDescent="0.25">
      <c r="A8" t="str">
        <f>[1]merged_manageTEST!$A8</f>
        <v>wrongyear_man is TRUE</v>
      </c>
      <c r="B8" t="str">
        <f>[1]merged_manageTEST!$B8</f>
        <v>displays with year not in current cycle message</v>
      </c>
      <c r="C8">
        <f>[1]merged_manageTEST!$C8</f>
        <v>7</v>
      </c>
      <c r="D8">
        <f>[1]merged_manageTEST!$D8</f>
        <v>3</v>
      </c>
      <c r="E8">
        <f>[1]merged_manageTEST!$F8</f>
        <v>2020</v>
      </c>
      <c r="F8" t="b">
        <v>1</v>
      </c>
      <c r="G8" t="b">
        <v>1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s">
        <v>15</v>
      </c>
      <c r="U8" t="s">
        <v>15</v>
      </c>
      <c r="V8" s="1" t="s">
        <v>15</v>
      </c>
    </row>
    <row r="9" spans="1:22" x14ac:dyDescent="0.25">
      <c r="A9" t="str">
        <f>[1]merged_manageTEST!$A9</f>
        <v>year_mismatch is TRUE (deprecated)</v>
      </c>
      <c r="B9" t="str">
        <f>[1]merged_manageTEST!$B9</f>
        <v>does not display: year_mismatch is no longer used since dateentered was introduced</v>
      </c>
      <c r="C9">
        <f>[1]merged_manageTEST!$C9</f>
        <v>8</v>
      </c>
      <c r="D9">
        <f>[1]merged_manageTEST!$D9</f>
        <v>4</v>
      </c>
      <c r="E9">
        <f>[1]merged_manageTEST!$F9</f>
        <v>2018</v>
      </c>
      <c r="F9" t="b">
        <v>0</v>
      </c>
      <c r="G9" t="b">
        <v>0</v>
      </c>
      <c r="H9" t="b">
        <v>1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s">
        <v>15</v>
      </c>
      <c r="U9" t="s">
        <v>15</v>
      </c>
      <c r="V9" s="1" t="s">
        <v>15</v>
      </c>
    </row>
    <row r="10" spans="1:22" x14ac:dyDescent="0.25">
      <c r="A10" t="str">
        <f>[1]merged_manageTEST!$A10</f>
        <v>out_of_phase is TRUE</v>
      </c>
      <c r="B10" t="str">
        <f>[1]merged_manageTEST!$B10</f>
        <v>does not display</v>
      </c>
      <c r="C10">
        <f>[1]merged_manageTEST!$C10</f>
        <v>9</v>
      </c>
      <c r="D10">
        <f>[1]merged_manageTEST!$D10</f>
        <v>4</v>
      </c>
      <c r="E10">
        <f>[1]merged_manageTEST!$F10</f>
        <v>2017</v>
      </c>
      <c r="F10" t="b">
        <v>0</v>
      </c>
      <c r="G10" t="b">
        <v>0</v>
      </c>
      <c r="H10" t="b">
        <v>0</v>
      </c>
      <c r="I10" t="b">
        <v>0</v>
      </c>
      <c r="J10" t="b">
        <v>1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s">
        <v>15</v>
      </c>
      <c r="U10" t="s">
        <v>15</v>
      </c>
      <c r="V10" s="1" t="s">
        <v>15</v>
      </c>
    </row>
    <row r="11" spans="1:22" x14ac:dyDescent="0.25">
      <c r="A11" t="str">
        <f>[1]merged_manageTEST!$A11</f>
        <v>short_flood is TRUE</v>
      </c>
      <c r="B11" t="str">
        <f>[1]merged_manageTEST!$B11</f>
        <v>does not display</v>
      </c>
      <c r="C11">
        <f>[1]merged_manageTEST!$C11</f>
        <v>10</v>
      </c>
      <c r="D11">
        <f>[1]merged_manageTEST!$D11</f>
        <v>4</v>
      </c>
      <c r="E11">
        <f>[1]merged_manageTEST!$F11</f>
        <v>2018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1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s">
        <v>15</v>
      </c>
      <c r="U11" t="s">
        <v>15</v>
      </c>
      <c r="V11" s="1" t="s">
        <v>15</v>
      </c>
    </row>
    <row r="12" spans="1:22" x14ac:dyDescent="0.25">
      <c r="A12" t="str">
        <f>[1]merged_manageTEST!$A12</f>
        <v>has_notes is TRUE: glyphnotes</v>
      </c>
      <c r="B12" t="str">
        <f>[1]merged_manageTEST!$B12</f>
        <v>displays with has notes message</v>
      </c>
      <c r="C12">
        <f>[1]merged_manageTEST!$C12</f>
        <v>11</v>
      </c>
      <c r="D12">
        <f>[1]merged_manageTEST!$D12</f>
        <v>5</v>
      </c>
      <c r="E12">
        <f>[1]merged_manageTEST!$F12</f>
        <v>2018</v>
      </c>
      <c r="F12" t="b">
        <v>1</v>
      </c>
      <c r="G12" t="b">
        <v>0</v>
      </c>
      <c r="H12" t="b">
        <v>0</v>
      </c>
      <c r="I12" t="b">
        <v>1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s">
        <v>15</v>
      </c>
      <c r="U12" t="s">
        <v>15</v>
      </c>
      <c r="V12" s="1" t="s">
        <v>15</v>
      </c>
    </row>
    <row r="13" spans="1:22" x14ac:dyDescent="0.25">
      <c r="A13" t="str">
        <f>[1]merged_manageTEST!$A13</f>
        <v>has_notes is TRUE: glyphplusnotes</v>
      </c>
      <c r="B13" t="str">
        <f>[1]merged_manageTEST!$B13</f>
        <v>displays with has notes message</v>
      </c>
      <c r="C13">
        <f>[1]merged_manageTEST!$C13</f>
        <v>12</v>
      </c>
      <c r="D13">
        <f>[1]merged_manageTEST!$D13</f>
        <v>5</v>
      </c>
      <c r="E13">
        <f>[1]merged_manageTEST!$F13</f>
        <v>2017</v>
      </c>
      <c r="F13" t="b">
        <v>1</v>
      </c>
      <c r="G13" t="b">
        <v>0</v>
      </c>
      <c r="H13" t="b">
        <v>0</v>
      </c>
      <c r="I13" t="b">
        <v>1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s">
        <v>15</v>
      </c>
      <c r="U13" t="s">
        <v>15</v>
      </c>
      <c r="V13" s="1" t="s">
        <v>15</v>
      </c>
    </row>
    <row r="14" spans="1:22" x14ac:dyDescent="0.25">
      <c r="A14" t="str">
        <f>[1]merged_manageTEST!$A14</f>
        <v>has_notes is TRUE: imaznotes</v>
      </c>
      <c r="B14" t="str">
        <f>[1]merged_manageTEST!$B14</f>
        <v>displays with has notes message</v>
      </c>
      <c r="C14">
        <f>[1]merged_manageTEST!$C14</f>
        <v>13</v>
      </c>
      <c r="D14">
        <f>[1]merged_manageTEST!$D14</f>
        <v>5</v>
      </c>
      <c r="E14">
        <f>[1]merged_manageTEST!$F14</f>
        <v>2018</v>
      </c>
      <c r="F14" t="b">
        <v>1</v>
      </c>
      <c r="G14" t="b">
        <v>0</v>
      </c>
      <c r="H14" t="b">
        <v>0</v>
      </c>
      <c r="I14" t="b">
        <v>1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s">
        <v>15</v>
      </c>
      <c r="U14" t="s">
        <v>15</v>
      </c>
      <c r="V14" s="1" t="s">
        <v>15</v>
      </c>
    </row>
    <row r="15" spans="1:22" x14ac:dyDescent="0.25">
      <c r="A15" t="str">
        <f>[1]merged_manageTEST!$A15</f>
        <v>has_notes is TRUE: prenotes</v>
      </c>
      <c r="B15" t="str">
        <f>[1]merged_manageTEST!$B15</f>
        <v>displays with has notes message</v>
      </c>
      <c r="C15">
        <f>[1]merged_manageTEST!$C15</f>
        <v>14</v>
      </c>
      <c r="D15">
        <f>[1]merged_manageTEST!$D15</f>
        <v>6</v>
      </c>
      <c r="E15">
        <f>[1]merged_manageTEST!$F15</f>
        <v>2018</v>
      </c>
      <c r="F15" t="b">
        <v>1</v>
      </c>
      <c r="G15" t="b">
        <v>0</v>
      </c>
      <c r="H15" t="b">
        <v>0</v>
      </c>
      <c r="I15" t="b">
        <v>1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s">
        <v>15</v>
      </c>
      <c r="U15" t="s">
        <v>15</v>
      </c>
      <c r="V15" s="1" t="s">
        <v>15</v>
      </c>
    </row>
    <row r="16" spans="1:22" x14ac:dyDescent="0.25">
      <c r="A16" t="str">
        <f>[1]merged_manageTEST!$A16</f>
        <v>has_notes is TRUE: mechnotes</v>
      </c>
      <c r="B16" t="str">
        <f>[1]merged_manageTEST!$B16</f>
        <v>displays with has notes message</v>
      </c>
      <c r="C16">
        <f>[1]merged_manageTEST!$C16</f>
        <v>15</v>
      </c>
      <c r="D16">
        <f>[1]merged_manageTEST!$D16</f>
        <v>6</v>
      </c>
      <c r="E16">
        <f>[1]merged_manageTEST!$F16</f>
        <v>2017</v>
      </c>
      <c r="F16" t="b">
        <v>1</v>
      </c>
      <c r="G16" t="b">
        <v>0</v>
      </c>
      <c r="H16" t="b">
        <v>0</v>
      </c>
      <c r="I16" t="b">
        <v>1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s">
        <v>15</v>
      </c>
      <c r="U16" t="s">
        <v>15</v>
      </c>
      <c r="V16" s="1" t="s">
        <v>15</v>
      </c>
    </row>
    <row r="17" spans="1:22" x14ac:dyDescent="0.25">
      <c r="A17" t="str">
        <f>[1]merged_manageTEST!$A17</f>
        <v>has_notes is TRUE: removenotes</v>
      </c>
      <c r="B17" t="str">
        <f>[1]merged_manageTEST!$B17</f>
        <v>displays with has notes message</v>
      </c>
      <c r="C17">
        <f>[1]merged_manageTEST!$C17</f>
        <v>16</v>
      </c>
      <c r="D17">
        <f>[1]merged_manageTEST!$D17</f>
        <v>6</v>
      </c>
      <c r="E17">
        <f>[1]merged_manageTEST!$F17</f>
        <v>2018</v>
      </c>
      <c r="F17" t="b">
        <v>1</v>
      </c>
      <c r="G17" t="b">
        <v>0</v>
      </c>
      <c r="H17" t="b">
        <v>0</v>
      </c>
      <c r="I17" t="b">
        <v>1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s">
        <v>15</v>
      </c>
      <c r="U17" t="s">
        <v>15</v>
      </c>
      <c r="V17" s="1" t="s">
        <v>15</v>
      </c>
    </row>
    <row r="18" spans="1:22" x14ac:dyDescent="0.25">
      <c r="A18" t="str">
        <f>[1]merged_manageTEST!$A18</f>
        <v>has_notes is TRUE: cutnotes</v>
      </c>
      <c r="B18" t="str">
        <f>[1]merged_manageTEST!$B18</f>
        <v>displays with has notes message</v>
      </c>
      <c r="C18">
        <f>[1]merged_manageTEST!$C18</f>
        <v>17</v>
      </c>
      <c r="D18">
        <f>[1]merged_manageTEST!$D18</f>
        <v>7</v>
      </c>
      <c r="E18">
        <f>[1]merged_manageTEST!$F18</f>
        <v>2018</v>
      </c>
      <c r="F18" t="b">
        <v>1</v>
      </c>
      <c r="G18" t="b">
        <v>0</v>
      </c>
      <c r="H18" t="b">
        <v>0</v>
      </c>
      <c r="I18" t="b">
        <v>1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s">
        <v>15</v>
      </c>
      <c r="U18" t="s">
        <v>15</v>
      </c>
      <c r="V18" s="1" t="s">
        <v>15</v>
      </c>
    </row>
    <row r="19" spans="1:22" x14ac:dyDescent="0.25">
      <c r="A19" t="str">
        <f>[1]merged_manageTEST!$A19</f>
        <v>has_notes is TRUE: spadenotes</v>
      </c>
      <c r="B19" t="str">
        <f>[1]merged_manageTEST!$B19</f>
        <v>displays with has notes message</v>
      </c>
      <c r="C19">
        <f>[1]merged_manageTEST!$C19</f>
        <v>18</v>
      </c>
      <c r="D19">
        <f>[1]merged_manageTEST!$D19</f>
        <v>7</v>
      </c>
      <c r="E19">
        <f>[1]merged_manageTEST!$F19</f>
        <v>2017</v>
      </c>
      <c r="F19" t="b">
        <v>1</v>
      </c>
      <c r="G19" t="b">
        <v>0</v>
      </c>
      <c r="H19" t="b">
        <v>0</v>
      </c>
      <c r="I19" t="b">
        <v>1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s">
        <v>15</v>
      </c>
      <c r="U19" t="s">
        <v>15</v>
      </c>
      <c r="V19" s="1" t="s">
        <v>15</v>
      </c>
    </row>
    <row r="20" spans="1:22" x14ac:dyDescent="0.25">
      <c r="A20" t="str">
        <f>[1]merged_manageTEST!$A20</f>
        <v>has_notes is TRUE: floodnotes</v>
      </c>
      <c r="B20" t="str">
        <f>[1]merged_manageTEST!$B20</f>
        <v>displays with has notes message</v>
      </c>
      <c r="C20">
        <f>[1]merged_manageTEST!$C20</f>
        <v>19</v>
      </c>
      <c r="D20">
        <f>[1]merged_manageTEST!$D20</f>
        <v>7</v>
      </c>
      <c r="E20">
        <f>[1]merged_manageTEST!$F20</f>
        <v>2018</v>
      </c>
      <c r="F20" t="b">
        <v>1</v>
      </c>
      <c r="G20" t="b">
        <v>0</v>
      </c>
      <c r="H20" t="b">
        <v>0</v>
      </c>
      <c r="I20" t="b">
        <v>1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s">
        <v>15</v>
      </c>
      <c r="U20" t="s">
        <v>15</v>
      </c>
      <c r="V20" s="1" t="s">
        <v>15</v>
      </c>
    </row>
    <row r="21" spans="1:22" x14ac:dyDescent="0.25">
      <c r="A21" t="str">
        <f>[1]merged_manageTEST!$A21</f>
        <v>has_notes is TRUE: restnotes</v>
      </c>
      <c r="B21" t="str">
        <f>[1]merged_manageTEST!$B21</f>
        <v>displays with has notes message</v>
      </c>
      <c r="C21">
        <f>[1]merged_manageTEST!$C21</f>
        <v>20</v>
      </c>
      <c r="D21">
        <f>[1]merged_manageTEST!$D21</f>
        <v>8</v>
      </c>
      <c r="E21">
        <f>[1]merged_manageTEST!$F21</f>
        <v>2018</v>
      </c>
      <c r="F21" t="b">
        <v>1</v>
      </c>
      <c r="G21" t="b">
        <v>0</v>
      </c>
      <c r="H21" t="b">
        <v>0</v>
      </c>
      <c r="I21" t="b">
        <v>1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s">
        <v>15</v>
      </c>
      <c r="U21" t="s">
        <v>15</v>
      </c>
      <c r="V21" s="1" t="s">
        <v>15</v>
      </c>
    </row>
    <row r="22" spans="1:22" x14ac:dyDescent="0.25">
      <c r="A22" t="str">
        <f>[1]merged_manageTEST!$A22</f>
        <v>has_notes is TRUE: other</v>
      </c>
      <c r="B22" t="str">
        <f>[1]merged_manageTEST!$B22</f>
        <v>displays with has notes message</v>
      </c>
      <c r="C22">
        <f>[1]merged_manageTEST!$C22</f>
        <v>21</v>
      </c>
      <c r="D22">
        <f>[1]merged_manageTEST!$D22</f>
        <v>8</v>
      </c>
      <c r="E22">
        <f>[1]merged_manageTEST!$F22</f>
        <v>2017</v>
      </c>
      <c r="F22" t="b">
        <v>1</v>
      </c>
      <c r="G22" t="b">
        <v>0</v>
      </c>
      <c r="H22" t="b">
        <v>0</v>
      </c>
      <c r="I22" t="b">
        <v>1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s">
        <v>15</v>
      </c>
      <c r="U22" t="s">
        <v>15</v>
      </c>
      <c r="V22" s="1" t="s">
        <v>15</v>
      </c>
    </row>
    <row r="23" spans="1:22" x14ac:dyDescent="0.25">
      <c r="A23" t="str">
        <f>[1]merged_manageTEST!$A23</f>
        <v>has_notes is TRUE: othernotes</v>
      </c>
      <c r="B23" t="str">
        <f>[1]merged_manageTEST!$B23</f>
        <v>displays with has notes message</v>
      </c>
      <c r="C23">
        <f>[1]merged_manageTEST!$C23</f>
        <v>22</v>
      </c>
      <c r="D23">
        <f>[1]merged_manageTEST!$D23</f>
        <v>8</v>
      </c>
      <c r="E23">
        <f>[1]merged_manageTEST!$F23</f>
        <v>2018</v>
      </c>
      <c r="F23" t="b">
        <v>1</v>
      </c>
      <c r="G23" t="b">
        <v>0</v>
      </c>
      <c r="H23" t="b">
        <v>0</v>
      </c>
      <c r="I23" t="b">
        <v>1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s">
        <v>15</v>
      </c>
      <c r="U23" t="s">
        <v>15</v>
      </c>
      <c r="V23" s="1" t="s">
        <v>15</v>
      </c>
    </row>
    <row r="24" spans="1:22" x14ac:dyDescent="0.25">
      <c r="A24" t="str">
        <f>[1]merged_manageTEST!$A24</f>
        <v>has_notes is TRUE: cutdescribe</v>
      </c>
      <c r="B24" t="str">
        <f>[1]merged_manageTEST!$B24</f>
        <v>displays with has notes message</v>
      </c>
      <c r="C24">
        <f>[1]merged_manageTEST!$C24</f>
        <v>23</v>
      </c>
      <c r="D24">
        <f>[1]merged_manageTEST!$D24</f>
        <v>9</v>
      </c>
      <c r="E24">
        <f>[1]merged_manageTEST!$F24</f>
        <v>2018</v>
      </c>
      <c r="F24" t="b">
        <v>1</v>
      </c>
      <c r="G24" t="b">
        <v>0</v>
      </c>
      <c r="H24" t="b">
        <v>0</v>
      </c>
      <c r="I24" t="b">
        <v>1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s">
        <v>15</v>
      </c>
      <c r="U24" t="s">
        <v>15</v>
      </c>
      <c r="V24" s="1" t="s">
        <v>15</v>
      </c>
    </row>
    <row r="25" spans="1:22" x14ac:dyDescent="0.25">
      <c r="A25" t="str">
        <f>[1]merged_manageTEST!$A25</f>
        <v>has_notes is TRUE: predescribe</v>
      </c>
      <c r="B25" t="str">
        <f>[1]merged_manageTEST!$B25</f>
        <v>displays with has notes message</v>
      </c>
      <c r="C25">
        <f>[1]merged_manageTEST!$C25</f>
        <v>24</v>
      </c>
      <c r="D25">
        <f>[1]merged_manageTEST!$D25</f>
        <v>9</v>
      </c>
      <c r="E25">
        <f>[1]merged_manageTEST!$F25</f>
        <v>2017</v>
      </c>
      <c r="F25" t="b">
        <v>1</v>
      </c>
      <c r="G25" t="b">
        <v>0</v>
      </c>
      <c r="H25" t="b">
        <v>0</v>
      </c>
      <c r="I25" t="b">
        <v>1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s">
        <v>15</v>
      </c>
      <c r="U25" t="s">
        <v>15</v>
      </c>
      <c r="V25" s="1" t="s">
        <v>15</v>
      </c>
    </row>
    <row r="26" spans="1:22" x14ac:dyDescent="0.25">
      <c r="A26" t="str">
        <f>[1]merged_manageTEST!$A26</f>
        <v>has_notes is TRUE: glyphsurfactantused</v>
      </c>
      <c r="B26" t="str">
        <f>[1]merged_manageTEST!$B26</f>
        <v>displays with has notes message</v>
      </c>
      <c r="C26">
        <f>[1]merged_manageTEST!$C26</f>
        <v>25</v>
      </c>
      <c r="D26">
        <f>[1]merged_manageTEST!$D26</f>
        <v>9</v>
      </c>
      <c r="E26">
        <f>[1]merged_manageTEST!$F26</f>
        <v>2018</v>
      </c>
      <c r="F26" t="b">
        <v>1</v>
      </c>
      <c r="G26" t="b">
        <v>0</v>
      </c>
      <c r="H26" t="b">
        <v>0</v>
      </c>
      <c r="I26" t="b">
        <v>1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s">
        <v>15</v>
      </c>
      <c r="U26" t="s">
        <v>15</v>
      </c>
      <c r="V26" s="1" t="s">
        <v>15</v>
      </c>
    </row>
    <row r="27" spans="1:22" x14ac:dyDescent="0.25">
      <c r="A27" t="str">
        <f>[1]merged_manageTEST!$A27</f>
        <v>has_notes is TRUE: glyphplussurfactantused</v>
      </c>
      <c r="B27" t="str">
        <f>[1]merged_manageTEST!$B27</f>
        <v>displays with has notes message</v>
      </c>
      <c r="C27">
        <f>[1]merged_manageTEST!$C27</f>
        <v>26</v>
      </c>
      <c r="D27">
        <f>[1]merged_manageTEST!$D27</f>
        <v>10</v>
      </c>
      <c r="E27">
        <f>[1]merged_manageTEST!$F27</f>
        <v>2018</v>
      </c>
      <c r="F27" t="b">
        <v>1</v>
      </c>
      <c r="G27" t="b">
        <v>0</v>
      </c>
      <c r="H27" t="b">
        <v>0</v>
      </c>
      <c r="I27" t="b">
        <v>1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s">
        <v>15</v>
      </c>
      <c r="U27" t="s">
        <v>15</v>
      </c>
      <c r="V27" s="1" t="s">
        <v>15</v>
      </c>
    </row>
    <row r="28" spans="1:22" x14ac:dyDescent="0.25">
      <c r="A28" t="str">
        <f>[1]merged_manageTEST!$A28</f>
        <v>has_notes is TRUE: imazsurfactantused</v>
      </c>
      <c r="B28" t="str">
        <f>[1]merged_manageTEST!$B28</f>
        <v>displays with has notes message</v>
      </c>
      <c r="C28">
        <f>[1]merged_manageTEST!$C28</f>
        <v>27</v>
      </c>
      <c r="D28">
        <f>[1]merged_manageTEST!$D28</f>
        <v>10</v>
      </c>
      <c r="E28">
        <f>[1]merged_manageTEST!$F28</f>
        <v>2017</v>
      </c>
      <c r="F28" t="b">
        <v>1</v>
      </c>
      <c r="G28" t="b">
        <v>0</v>
      </c>
      <c r="H28" t="b">
        <v>0</v>
      </c>
      <c r="I28" t="b">
        <v>1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s">
        <v>15</v>
      </c>
      <c r="U28" t="s">
        <v>15</v>
      </c>
      <c r="V28" s="1" t="s">
        <v>15</v>
      </c>
    </row>
    <row r="29" spans="1:22" x14ac:dyDescent="0.25">
      <c r="A29" t="str">
        <f>[1]merged_manageTEST!$A29</f>
        <v>has_notes is TRUE: glyphproductother</v>
      </c>
      <c r="B29" t="str">
        <f>[1]merged_manageTEST!$B29</f>
        <v>displays with has notes message</v>
      </c>
      <c r="C29">
        <f>[1]merged_manageTEST!$C29</f>
        <v>28</v>
      </c>
      <c r="D29">
        <f>[1]merged_manageTEST!$D29</f>
        <v>10</v>
      </c>
      <c r="E29">
        <f>[1]merged_manageTEST!$F29</f>
        <v>2018</v>
      </c>
      <c r="F29" t="b">
        <v>1</v>
      </c>
      <c r="G29" t="b">
        <v>0</v>
      </c>
      <c r="H29" t="b">
        <v>0</v>
      </c>
      <c r="I29" t="b">
        <v>1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s">
        <v>15</v>
      </c>
      <c r="U29" t="s">
        <v>15</v>
      </c>
      <c r="V29" s="1" t="s">
        <v>15</v>
      </c>
    </row>
    <row r="30" spans="1:22" x14ac:dyDescent="0.25">
      <c r="A30" t="str">
        <f>[1]merged_manageTEST!$A30</f>
        <v>has_notes is TRUE: glyphplusproductother</v>
      </c>
      <c r="B30" t="str">
        <f>[1]merged_manageTEST!$B30</f>
        <v>displays with has notes message</v>
      </c>
      <c r="C30">
        <f>[1]merged_manageTEST!$C30</f>
        <v>29</v>
      </c>
      <c r="D30">
        <f>[1]merged_manageTEST!$D30</f>
        <v>11</v>
      </c>
      <c r="E30">
        <f>[1]merged_manageTEST!$F30</f>
        <v>2018</v>
      </c>
      <c r="F30" t="b">
        <v>1</v>
      </c>
      <c r="G30" t="b">
        <v>0</v>
      </c>
      <c r="H30" t="b">
        <v>0</v>
      </c>
      <c r="I30" t="b">
        <v>1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s">
        <v>15</v>
      </c>
      <c r="U30" t="s">
        <v>15</v>
      </c>
      <c r="V30" s="1" t="s">
        <v>15</v>
      </c>
    </row>
    <row r="31" spans="1:22" x14ac:dyDescent="0.25">
      <c r="A31" t="str">
        <f>[1]merged_manageTEST!$A31</f>
        <v>has_notes is TRUE: imazproductother</v>
      </c>
      <c r="B31" t="str">
        <f>[1]merged_manageTEST!$B31</f>
        <v>displays with has notes message</v>
      </c>
      <c r="C31">
        <f>[1]merged_manageTEST!$C31</f>
        <v>30</v>
      </c>
      <c r="D31">
        <f>[1]merged_manageTEST!$D31</f>
        <v>11</v>
      </c>
      <c r="E31">
        <f>[1]merged_manageTEST!$F31</f>
        <v>2017</v>
      </c>
      <c r="F31" t="b">
        <v>1</v>
      </c>
      <c r="G31" t="b">
        <v>0</v>
      </c>
      <c r="H31" t="b">
        <v>0</v>
      </c>
      <c r="I31" t="b">
        <v>1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s">
        <v>15</v>
      </c>
      <c r="U31" t="s">
        <v>15</v>
      </c>
      <c r="V31" s="1" t="s">
        <v>15</v>
      </c>
    </row>
    <row r="32" spans="1:22" x14ac:dyDescent="0.25">
      <c r="A32" t="str">
        <f>[1]merged_manageTEST!$A32</f>
        <v>has_notes is TRUE: glyphplusaddedother</v>
      </c>
      <c r="B32" t="str">
        <f>[1]merged_manageTEST!$B32</f>
        <v>displays with has notes message</v>
      </c>
      <c r="C32">
        <f>[1]merged_manageTEST!$C32</f>
        <v>31</v>
      </c>
      <c r="D32">
        <f>[1]merged_manageTEST!$D32</f>
        <v>11</v>
      </c>
      <c r="E32">
        <f>[1]merged_manageTEST!$F32</f>
        <v>2018</v>
      </c>
      <c r="F32" t="b">
        <v>1</v>
      </c>
      <c r="G32" t="b">
        <v>0</v>
      </c>
      <c r="H32" t="b">
        <v>0</v>
      </c>
      <c r="I32" t="b">
        <v>1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s">
        <v>15</v>
      </c>
      <c r="U32" t="s">
        <v>15</v>
      </c>
      <c r="V32" s="1" t="s">
        <v>15</v>
      </c>
    </row>
    <row r="33" spans="1:22" x14ac:dyDescent="0.25">
      <c r="A33" t="str">
        <f>[1]merged_manageTEST!$A33</f>
        <v>has_notes is TRUE: glyphequipmodel</v>
      </c>
      <c r="B33" t="str">
        <f>[1]merged_manageTEST!$B33</f>
        <v>displays with has notes message</v>
      </c>
      <c r="C33">
        <f>[1]merged_manageTEST!$C33</f>
        <v>32</v>
      </c>
      <c r="D33">
        <f>[1]merged_manageTEST!$D33</f>
        <v>12</v>
      </c>
      <c r="E33">
        <f>[1]merged_manageTEST!$F33</f>
        <v>2018</v>
      </c>
      <c r="F33" t="b">
        <v>1</v>
      </c>
      <c r="G33" t="b">
        <v>0</v>
      </c>
      <c r="H33" t="b">
        <v>0</v>
      </c>
      <c r="I33" t="b">
        <v>1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s">
        <v>15</v>
      </c>
      <c r="U33" t="s">
        <v>15</v>
      </c>
      <c r="V33" s="1" t="s">
        <v>15</v>
      </c>
    </row>
    <row r="34" spans="1:22" x14ac:dyDescent="0.25">
      <c r="A34" t="str">
        <f>[1]merged_manageTEST!$A34</f>
        <v>has_notes is TRUE: glyphplusequipmodel</v>
      </c>
      <c r="B34" t="str">
        <f>[1]merged_manageTEST!$B34</f>
        <v>displays with has notes message</v>
      </c>
      <c r="C34">
        <f>[1]merged_manageTEST!$C34</f>
        <v>33</v>
      </c>
      <c r="D34">
        <f>[1]merged_manageTEST!$D34</f>
        <v>12</v>
      </c>
      <c r="E34">
        <f>[1]merged_manageTEST!$F34</f>
        <v>2017</v>
      </c>
      <c r="F34" t="b">
        <v>1</v>
      </c>
      <c r="G34" t="b">
        <v>0</v>
      </c>
      <c r="H34" t="b">
        <v>0</v>
      </c>
      <c r="I34" t="b">
        <v>1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s">
        <v>15</v>
      </c>
      <c r="U34" t="s">
        <v>15</v>
      </c>
      <c r="V34" s="1" t="s">
        <v>15</v>
      </c>
    </row>
    <row r="35" spans="1:22" x14ac:dyDescent="0.25">
      <c r="A35" t="str">
        <f>[1]merged_manageTEST!$A35</f>
        <v>has_notes is TRUE: imazequipmodel</v>
      </c>
      <c r="B35" t="str">
        <f>[1]merged_manageTEST!$B35</f>
        <v>displays with has notes message</v>
      </c>
      <c r="C35">
        <f>[1]merged_manageTEST!$C35</f>
        <v>34</v>
      </c>
      <c r="D35">
        <f>[1]merged_manageTEST!$D35</f>
        <v>12</v>
      </c>
      <c r="E35">
        <f>[1]merged_manageTEST!$F35</f>
        <v>2018</v>
      </c>
      <c r="F35" t="b">
        <v>1</v>
      </c>
      <c r="G35" t="b">
        <v>0</v>
      </c>
      <c r="H35" t="b">
        <v>0</v>
      </c>
      <c r="I35" t="b">
        <v>1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s">
        <v>15</v>
      </c>
      <c r="U35" t="s">
        <v>15</v>
      </c>
      <c r="V35" s="1" t="s">
        <v>15</v>
      </c>
    </row>
    <row r="36" spans="1:22" x14ac:dyDescent="0.25">
      <c r="A36" t="str">
        <f>[1]merged_manageTEST!$A36</f>
        <v>has_notes is TRUE: removeequipmodel</v>
      </c>
      <c r="B36" t="str">
        <f>[1]merged_manageTEST!$B36</f>
        <v>displays with has notes message</v>
      </c>
      <c r="C36">
        <f>[1]merged_manageTEST!$C36</f>
        <v>35</v>
      </c>
      <c r="D36">
        <f>[1]merged_manageTEST!$D36</f>
        <v>13</v>
      </c>
      <c r="E36">
        <f>[1]merged_manageTEST!$F36</f>
        <v>2018</v>
      </c>
      <c r="F36" t="b">
        <v>1</v>
      </c>
      <c r="G36" t="b">
        <v>0</v>
      </c>
      <c r="H36" t="b">
        <v>0</v>
      </c>
      <c r="I36" t="b">
        <v>1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s">
        <v>15</v>
      </c>
      <c r="U36" t="s">
        <v>15</v>
      </c>
      <c r="V36" s="1" t="s">
        <v>15</v>
      </c>
    </row>
    <row r="37" spans="1:22" x14ac:dyDescent="0.25">
      <c r="A37" t="str">
        <f>[1]merged_manageTEST!$A37</f>
        <v>has_notes is TRUE: mechequipmodel</v>
      </c>
      <c r="B37" t="str">
        <f>[1]merged_manageTEST!$B37</f>
        <v>displays with has notes message</v>
      </c>
      <c r="C37">
        <f>[1]merged_manageTEST!$C37</f>
        <v>36</v>
      </c>
      <c r="D37">
        <f>[1]merged_manageTEST!$D37</f>
        <v>13</v>
      </c>
      <c r="E37">
        <f>[1]merged_manageTEST!$F37</f>
        <v>2017</v>
      </c>
      <c r="F37" t="b">
        <v>1</v>
      </c>
      <c r="G37" t="b">
        <v>0</v>
      </c>
      <c r="H37" t="b">
        <v>0</v>
      </c>
      <c r="I37" t="b">
        <v>1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s">
        <v>15</v>
      </c>
      <c r="U37" t="s">
        <v>15</v>
      </c>
      <c r="V37" s="1" t="s">
        <v>15</v>
      </c>
    </row>
    <row r="38" spans="1:22" x14ac:dyDescent="0.25">
      <c r="A38" t="str">
        <f>[1]merged_manageTEST!$A38</f>
        <v>has_notes is TRUE: cutequipmodel</v>
      </c>
      <c r="B38" t="str">
        <f>[1]merged_manageTEST!$B38</f>
        <v>displays with has notes message</v>
      </c>
      <c r="C38">
        <f>[1]merged_manageTEST!$C38</f>
        <v>37</v>
      </c>
      <c r="D38">
        <f>[1]merged_manageTEST!$D38</f>
        <v>13</v>
      </c>
      <c r="E38">
        <f>[1]merged_manageTEST!$F38</f>
        <v>2018</v>
      </c>
      <c r="F38" t="b">
        <v>1</v>
      </c>
      <c r="G38" t="b">
        <v>0</v>
      </c>
      <c r="H38" t="b">
        <v>0</v>
      </c>
      <c r="I38" t="b">
        <v>1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s">
        <v>15</v>
      </c>
      <c r="U38" t="s">
        <v>15</v>
      </c>
      <c r="V38" s="1" t="s">
        <v>15</v>
      </c>
    </row>
    <row r="39" spans="1:22" x14ac:dyDescent="0.25">
      <c r="A39" t="str">
        <f>[1]merged_manageTEST!$A39</f>
        <v>has_notes is TRUE: preequipmodel</v>
      </c>
      <c r="B39" t="str">
        <f>[1]merged_manageTEST!$B39</f>
        <v>displays with has notes message</v>
      </c>
      <c r="C39">
        <f>[1]merged_manageTEST!$C39</f>
        <v>38</v>
      </c>
      <c r="D39">
        <f>[1]merged_manageTEST!$D39</f>
        <v>14</v>
      </c>
      <c r="E39">
        <f>[1]merged_manageTEST!$F39</f>
        <v>2018</v>
      </c>
      <c r="F39" t="b">
        <v>1</v>
      </c>
      <c r="G39" t="b">
        <v>0</v>
      </c>
      <c r="H39" t="b">
        <v>0</v>
      </c>
      <c r="I39" t="b">
        <v>1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s">
        <v>15</v>
      </c>
      <c r="U39" t="s">
        <v>15</v>
      </c>
      <c r="V39" s="1" t="s">
        <v>15</v>
      </c>
    </row>
    <row r="40" spans="1:22" x14ac:dyDescent="0.25">
      <c r="A40" t="str">
        <f>[1]merged_manageTEST!$A40</f>
        <v>has_notes is TRUE: followdescribe</v>
      </c>
      <c r="B40" t="str">
        <f>[1]merged_manageTEST!$B40</f>
        <v>displays with has notes message</v>
      </c>
      <c r="C40">
        <f>[1]merged_manageTEST!$C40</f>
        <v>39</v>
      </c>
      <c r="D40">
        <f>[1]merged_manageTEST!$D40</f>
        <v>14</v>
      </c>
      <c r="E40">
        <f>[1]merged_manageTEST!$F40</f>
        <v>2017</v>
      </c>
      <c r="F40" t="b">
        <v>1</v>
      </c>
      <c r="G40" t="b">
        <v>0</v>
      </c>
      <c r="H40" t="b">
        <v>0</v>
      </c>
      <c r="I40" t="b">
        <v>1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s">
        <v>15</v>
      </c>
      <c r="U40" t="s">
        <v>15</v>
      </c>
      <c r="V40" s="1" t="s">
        <v>15</v>
      </c>
    </row>
    <row r="41" spans="1:22" x14ac:dyDescent="0.25">
      <c r="A41" t="str">
        <f>[1]merged_manageTEST!$A41</f>
        <v>long_flood is TRUE</v>
      </c>
      <c r="B41" t="str">
        <f>[1]merged_manageTEST!$B41</f>
        <v>displays with long flood message</v>
      </c>
      <c r="C41">
        <f>[1]merged_manageTEST!$C41</f>
        <v>40</v>
      </c>
      <c r="D41">
        <f>[1]merged_manageTEST!$D41</f>
        <v>14</v>
      </c>
      <c r="E41">
        <f>[1]merged_manageTEST!$F41</f>
        <v>2018</v>
      </c>
      <c r="F41" t="b">
        <v>1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1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s">
        <v>15</v>
      </c>
      <c r="U41" t="s">
        <v>15</v>
      </c>
      <c r="V41" s="1" t="s">
        <v>15</v>
      </c>
    </row>
    <row r="42" spans="1:22" x14ac:dyDescent="0.25">
      <c r="A42" t="str">
        <f>[1]merged_manageTEST!$A42</f>
        <v>hydro_mismatch is TRUE</v>
      </c>
      <c r="B42" t="str">
        <f>[1]merged_manageTEST!$B42</f>
        <v>displays with hydro mismatch message</v>
      </c>
      <c r="C42">
        <f>[1]merged_manageTEST!$C42</f>
        <v>41</v>
      </c>
      <c r="D42">
        <f>[1]merged_manageTEST!$D42</f>
        <v>15</v>
      </c>
      <c r="E42">
        <f>[1]merged_manageTEST!$F42</f>
        <v>2017</v>
      </c>
      <c r="F42" t="b">
        <v>1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1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s">
        <v>15</v>
      </c>
      <c r="U42" t="s">
        <v>15</v>
      </c>
      <c r="V42" s="1" t="s">
        <v>15</v>
      </c>
    </row>
    <row r="43" spans="1:22" x14ac:dyDescent="0.25">
      <c r="A43" t="str">
        <f>[1]merged_manageTEST!$A43</f>
        <v>low_coverage is TRUE</v>
      </c>
      <c r="B43" t="str">
        <f>[1]merged_manageTEST!$B43</f>
        <v>does not display</v>
      </c>
      <c r="C43">
        <f>[1]merged_manageTEST!$C43</f>
        <v>42</v>
      </c>
      <c r="D43">
        <f>[1]merged_manageTEST!$D43</f>
        <v>15</v>
      </c>
      <c r="E43">
        <f>[1]merged_manageTEST!$F43</f>
        <v>2018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1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s">
        <v>15</v>
      </c>
      <c r="U43" t="s">
        <v>15</v>
      </c>
      <c r="V43" s="1" t="s">
        <v>15</v>
      </c>
    </row>
    <row r="44" spans="1:22" x14ac:dyDescent="0.25">
      <c r="A44" t="str">
        <f>[1]merged_manageTEST!$A44</f>
        <v>low_coverage is TRUE</v>
      </c>
      <c r="B44" t="str">
        <f>[1]merged_manageTEST!$B44</f>
        <v>does not display</v>
      </c>
      <c r="C44">
        <f>[1]merged_manageTEST!$C44</f>
        <v>43</v>
      </c>
      <c r="D44">
        <f>[1]merged_manageTEST!$D44</f>
        <v>15</v>
      </c>
      <c r="E44">
        <f>[1]merged_manageTEST!$F44</f>
        <v>2018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1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s">
        <v>15</v>
      </c>
      <c r="U44" t="s">
        <v>15</v>
      </c>
      <c r="V44" s="1" t="s">
        <v>15</v>
      </c>
    </row>
    <row r="45" spans="1:22" x14ac:dyDescent="0.25">
      <c r="A45" t="str">
        <f>[1]merged_manageTEST!$A45</f>
        <v>low_coverage is TRUE</v>
      </c>
      <c r="B45" t="str">
        <f>[1]merged_manageTEST!$B45</f>
        <v>does not display</v>
      </c>
      <c r="C45">
        <f>[1]merged_manageTEST!$C45</f>
        <v>44</v>
      </c>
      <c r="D45">
        <f>[1]merged_manageTEST!$D45</f>
        <v>16</v>
      </c>
      <c r="E45">
        <f>[1]merged_manageTEST!$F45</f>
        <v>2017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1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s">
        <v>15</v>
      </c>
      <c r="U45" t="s">
        <v>15</v>
      </c>
      <c r="V45" s="1" t="s">
        <v>15</v>
      </c>
    </row>
    <row r="46" spans="1:22" x14ac:dyDescent="0.25">
      <c r="A46" t="str">
        <f>[1]merged_manageTEST!$A46</f>
        <v>grow_after_monitor is TRUE (deprecated)</v>
      </c>
      <c r="B46" t="s">
        <v>22</v>
      </c>
      <c r="C46">
        <f>[1]merged_manageTEST!$C46</f>
        <v>45</v>
      </c>
      <c r="D46">
        <f>[1]merged_manageTEST!$D46</f>
        <v>16</v>
      </c>
      <c r="E46">
        <f>[1]merged_manageTEST!$F46</f>
        <v>2018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1</v>
      </c>
      <c r="P46" t="b">
        <v>0</v>
      </c>
      <c r="Q46" t="b">
        <v>0</v>
      </c>
      <c r="R46" t="b">
        <v>0</v>
      </c>
      <c r="S46" t="b">
        <v>0</v>
      </c>
      <c r="T46" t="s">
        <v>15</v>
      </c>
      <c r="U46" t="s">
        <v>15</v>
      </c>
      <c r="V46" s="1" t="s">
        <v>15</v>
      </c>
    </row>
    <row r="47" spans="1:22" x14ac:dyDescent="0.25">
      <c r="A47" t="str">
        <f>[1]merged_manageTEST!$A47</f>
        <v>tloc_before_monitor is TRUE (deprecated)</v>
      </c>
      <c r="B47" t="s">
        <v>22</v>
      </c>
      <c r="C47">
        <f>[1]merged_manageTEST!$C47</f>
        <v>46</v>
      </c>
      <c r="D47">
        <f>[1]merged_manageTEST!$D47</f>
        <v>16</v>
      </c>
      <c r="E47">
        <f>[1]merged_manageTEST!$F47</f>
        <v>2018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1</v>
      </c>
      <c r="Q47" t="b">
        <v>0</v>
      </c>
      <c r="R47" t="b">
        <v>0</v>
      </c>
      <c r="S47" t="b">
        <v>0</v>
      </c>
      <c r="T47" t="s">
        <v>15</v>
      </c>
      <c r="U47" t="s">
        <v>15</v>
      </c>
      <c r="V47" s="1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manage_issuesTEST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Dumoulin, Christine Elise</cp:lastModifiedBy>
  <dcterms:created xsi:type="dcterms:W3CDTF">2020-08-10T15:40:21Z</dcterms:created>
  <dcterms:modified xsi:type="dcterms:W3CDTF">2021-07-23T20:41:22Z</dcterms:modified>
</cp:coreProperties>
</file>