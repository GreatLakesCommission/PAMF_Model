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dumoulin\Desktop\pamf-model-2021\src\create-new-run\test-cases\"/>
    </mc:Choice>
  </mc:AlternateContent>
  <xr:revisionPtr revIDLastSave="0" documentId="13_ncr:1_{E3F0C3E3-029D-45F4-BECE-9407D734F79F}" xr6:coauthVersionLast="45" xr6:coauthVersionMax="45" xr10:uidLastSave="{00000000-0000-0000-0000-000000000000}"/>
  <bookViews>
    <workbookView xWindow="-18795" yWindow="990" windowWidth="17370" windowHeight="8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3" i="1" s="1"/>
  <c r="E14" i="1" s="1"/>
  <c r="E15" i="1" s="1"/>
  <c r="E16" i="1" s="1"/>
  <c r="E17" i="1" s="1"/>
  <c r="E18" i="1" s="1"/>
  <c r="E19" i="1" s="1"/>
  <c r="E20" i="1" s="1"/>
  <c r="Q3" i="1" l="1"/>
  <c r="Q4" i="1" s="1"/>
  <c r="Q5" i="1" s="1"/>
  <c r="Q6" i="1" s="1"/>
  <c r="Q7" i="1" s="1"/>
  <c r="Q8" i="1" s="1"/>
  <c r="Q9" i="1" s="1"/>
  <c r="Q10" i="1" s="1"/>
  <c r="Q11" i="1" s="1"/>
  <c r="Q12" i="1" l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A3" i="1"/>
  <c r="A4" i="1" s="1"/>
  <c r="A5" i="1" s="1"/>
  <c r="A6" i="1" s="1"/>
  <c r="A7" i="1" s="1"/>
  <c r="A8" i="1" s="1"/>
  <c r="A9" i="1" s="1"/>
  <c r="A10" i="1" s="1"/>
  <c r="A11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<sst xmlns="http://schemas.openxmlformats.org/spreadsheetml/2006/main" count="95" uniqueCount="61">
  <si>
    <t>monitorid</t>
  </si>
  <si>
    <t>testnote</t>
  </si>
  <si>
    <t>expected behaviour</t>
  </si>
  <si>
    <t>munitid</t>
  </si>
  <si>
    <t>q1stemcount</t>
  </si>
  <si>
    <t>q2stemcount</t>
  </si>
  <si>
    <t>q3stemcount</t>
  </si>
  <si>
    <t>q4stemcount</t>
  </si>
  <si>
    <t>q5stemcount</t>
  </si>
  <si>
    <t>dateentered</t>
  </si>
  <si>
    <t>monitoringdate</t>
  </si>
  <si>
    <t>monitor_year</t>
  </si>
  <si>
    <t>monitor_month</t>
  </si>
  <si>
    <t>notes</t>
  </si>
  <si>
    <t>userid</t>
  </si>
  <si>
    <t>no issues</t>
  </si>
  <si>
    <t>display=FALSE; issues and autoreject columns are FALSE</t>
  </si>
  <si>
    <t>more than 50 stems in a quadrat</t>
  </si>
  <si>
    <t>dateentered is not in monitor_year</t>
  </si>
  <si>
    <t>has notes</t>
  </si>
  <si>
    <t>both monitor_month and dateentered are outside of June/July/August</t>
  </si>
  <si>
    <t>NA</t>
  </si>
  <si>
    <t>large MU with medium establishment and stem count zeroes</t>
  </si>
  <si>
    <t>small MU with medium establishment and stem count zeroes</t>
  </si>
  <si>
    <t>large MU with low establishment and stem count zeroes</t>
  </si>
  <si>
    <t>small MU with medium establishment and missing stem counts</t>
  </si>
  <si>
    <t>large MU with low establishment and missing stem counts</t>
  </si>
  <si>
    <t>the notes column has text</t>
  </si>
  <si>
    <t>Monitoring in August</t>
  </si>
  <si>
    <t xml:space="preserve">Monitoring in June </t>
  </si>
  <si>
    <t>monitor_month is outside of June/July/August but dateentered isn't</t>
  </si>
  <si>
    <t>establishment</t>
  </si>
  <si>
    <t>large MU with medium establishment and stem missing stem counts</t>
  </si>
  <si>
    <t>display=TRUE; has_notes=TRUE</t>
  </si>
  <si>
    <t>display=TRUE; near_window=TRUE</t>
  </si>
  <si>
    <t>monitor_year is different than the year of the cycle's end and monitor_month is in June/July/August</t>
  </si>
  <si>
    <t>display=TRUE; wrongyear_mon=TRUE</t>
  </si>
  <si>
    <t>display=TRUE; month_mismatch is TRUE</t>
  </si>
  <si>
    <t>display=TRUE; stems_zero=TRUE</t>
  </si>
  <si>
    <t>display=FALSE; stems_zero=FALSE</t>
  </si>
  <si>
    <t>display=TRUE; stems_missing=TRUE</t>
  </si>
  <si>
    <t>display=FALSE; stems_missing=FALSE</t>
  </si>
  <si>
    <t>display=TRUE; stems_high=TRUE</t>
  </si>
  <si>
    <t>display=FALSE; out_of_window=TRUE; autoreject_model=TRUE</t>
  </si>
  <si>
    <t>monitor_year is different than the year of the cycle's end, monitor_month is not in June/July/August, but dateentered is</t>
  </si>
  <si>
    <t>monitor_year is different than the year of the cycle's end, and neither monitor_month nor dateentered is in June/July/August</t>
  </si>
  <si>
    <t>monitoring occurred within one month of management</t>
  </si>
  <si>
    <t>no issues; supports management report 42</t>
  </si>
  <si>
    <t>no issues; supports management report 43</t>
  </si>
  <si>
    <t>no issues; suports management report 45</t>
  </si>
  <si>
    <t>report belongs to inactive MU</t>
  </si>
  <si>
    <t>is not added to monitor_issues</t>
  </si>
  <si>
    <t>already in monitor_issues</t>
  </si>
  <si>
    <t>display=TRUE; wrongyear_mon=TRUE; month_mismatch=TRUE</t>
  </si>
  <si>
    <t>display=TRUE; wrongyear_mon=TRUE; out_of_window=TRUE; autoreject=TRUE</t>
  </si>
  <si>
    <t>monitoring occurred within one month of FLOOD</t>
  </si>
  <si>
    <t>display=TRUE; near_manage=TRUE</t>
  </si>
  <si>
    <t>display=TRUE;  wrongyear_mon=TRUE; year_mismatch=TRUE</t>
  </si>
  <si>
    <t>supports management report 44</t>
  </si>
  <si>
    <t>Date Verified</t>
  </si>
  <si>
    <t>near_manage==TRUE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</si>
</sst>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Fill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Border="1"/>
    <xf numFmtId="0" fontId="0" fillId="0" borderId="0" xfId="0" applyBorder="1"/>
    <xf numFmtId="14" fontId="0" fillId="0" borderId="1" xfId="0" applyNumberFormat="1" applyBorder="1"/>
    <xf numFmtId="14" fontId="0" fillId="0" borderId="1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pane xSplit="4" ySplit="1" topLeftCell="E11" activePane="bottomRight" state="frozen"/>
      <selection pane="topRight" activeCell="D1" sqref="D1"/>
      <selection pane="bottomLeft" activeCell="A2" sqref="A2"/>
      <selection pane="bottomRight" activeCell="D24" sqref="D24"/>
    </sheetView>
  </sheetViews>
  <sheetFormatPr defaultRowHeight="15" x14ac:dyDescent="0.25"/>
  <cols>
    <col min="1" max="1" width="10.140625" customWidth="1"/>
    <col min="2" max="2" width="40.42578125" customWidth="1"/>
    <col min="3" max="3" width="57" style="8" customWidth="1"/>
    <col min="4" max="4" width="9.7109375" style="3" bestFit="1" customWidth="1"/>
    <col min="12" max="12" width="10.42578125" style="6" bestFit="1" customWidth="1"/>
    <col min="13" max="13" width="14.7109375" style="6" customWidth="1"/>
    <col min="14" max="14" width="13.140625" customWidth="1"/>
    <col min="15" max="15" width="15" customWidth="1"/>
  </cols>
  <sheetData>
    <row r="1" spans="1:17" s="1" customFormat="1" x14ac:dyDescent="0.25">
      <c r="A1" s="1" t="s">
        <v>0</v>
      </c>
      <c r="B1" s="1" t="s">
        <v>1</v>
      </c>
      <c r="C1" s="7" t="s">
        <v>2</v>
      </c>
      <c r="D1" s="2" t="s">
        <v>59</v>
      </c>
      <c r="E1" s="1" t="s">
        <v>3</v>
      </c>
      <c r="F1" s="1" t="s">
        <v>31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9</v>
      </c>
      <c r="M1" s="5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>
        <v>1</v>
      </c>
      <c r="B2" t="s">
        <v>15</v>
      </c>
      <c r="C2" s="8" t="s">
        <v>16</v>
      </c>
      <c r="D2" s="9">
        <v>44392</v>
      </c>
      <c r="E2">
        <v>1</v>
      </c>
      <c r="F2">
        <v>2</v>
      </c>
      <c r="G2">
        <v>5</v>
      </c>
      <c r="H2">
        <v>5</v>
      </c>
      <c r="I2">
        <v>5</v>
      </c>
      <c r="J2">
        <v>5</v>
      </c>
      <c r="K2">
        <v>5</v>
      </c>
      <c r="L2" s="6">
        <v>228490</v>
      </c>
      <c r="M2" s="6">
        <v>228466</v>
      </c>
      <c r="N2">
        <v>2525</v>
      </c>
      <c r="O2">
        <v>7</v>
      </c>
      <c r="P2" t="s">
        <v>21</v>
      </c>
      <c r="Q2">
        <v>301</v>
      </c>
    </row>
    <row r="3" spans="1:17" x14ac:dyDescent="0.25">
      <c r="A3">
        <f>A2+1</f>
        <v>2</v>
      </c>
      <c r="B3" t="s">
        <v>19</v>
      </c>
      <c r="C3" s="8" t="s">
        <v>33</v>
      </c>
      <c r="D3" s="9">
        <v>44392</v>
      </c>
      <c r="E3">
        <f>E2+1</f>
        <v>2</v>
      </c>
      <c r="F3">
        <v>2</v>
      </c>
      <c r="G3">
        <v>5</v>
      </c>
      <c r="H3">
        <v>5</v>
      </c>
      <c r="I3">
        <v>5</v>
      </c>
      <c r="J3">
        <v>5</v>
      </c>
      <c r="K3">
        <v>5</v>
      </c>
      <c r="L3" s="6">
        <v>228490</v>
      </c>
      <c r="M3" s="6">
        <v>228466</v>
      </c>
      <c r="N3">
        <v>2525</v>
      </c>
      <c r="O3">
        <v>7</v>
      </c>
      <c r="P3" t="s">
        <v>27</v>
      </c>
      <c r="Q3">
        <f>Q2+1</f>
        <v>302</v>
      </c>
    </row>
    <row r="4" spans="1:17" x14ac:dyDescent="0.25">
      <c r="A4">
        <f t="shared" ref="A4:A24" si="0">A3+1</f>
        <v>3</v>
      </c>
      <c r="B4" t="s">
        <v>29</v>
      </c>
      <c r="C4" s="8" t="s">
        <v>34</v>
      </c>
      <c r="D4" s="9">
        <v>44392</v>
      </c>
      <c r="E4">
        <f t="shared" ref="E4:E20" si="1">E3+1</f>
        <v>3</v>
      </c>
      <c r="F4">
        <v>2</v>
      </c>
      <c r="G4">
        <v>5</v>
      </c>
      <c r="H4">
        <v>5</v>
      </c>
      <c r="I4">
        <v>5</v>
      </c>
      <c r="J4">
        <v>5</v>
      </c>
      <c r="K4">
        <v>5</v>
      </c>
      <c r="L4" s="6">
        <v>228459</v>
      </c>
      <c r="M4" s="6">
        <v>228449</v>
      </c>
      <c r="N4">
        <v>2525</v>
      </c>
      <c r="O4">
        <v>6</v>
      </c>
      <c r="P4" t="s">
        <v>21</v>
      </c>
      <c r="Q4">
        <f t="shared" ref="Q4:Q26" si="2">Q3+1</f>
        <v>303</v>
      </c>
    </row>
    <row r="5" spans="1:17" x14ac:dyDescent="0.25">
      <c r="A5">
        <f t="shared" si="0"/>
        <v>4</v>
      </c>
      <c r="B5" t="s">
        <v>28</v>
      </c>
      <c r="C5" s="8" t="s">
        <v>34</v>
      </c>
      <c r="D5" s="9">
        <v>44392</v>
      </c>
      <c r="E5">
        <f t="shared" si="1"/>
        <v>4</v>
      </c>
      <c r="F5">
        <v>2</v>
      </c>
      <c r="G5">
        <v>5</v>
      </c>
      <c r="H5">
        <v>5</v>
      </c>
      <c r="I5">
        <v>5</v>
      </c>
      <c r="J5">
        <v>5</v>
      </c>
      <c r="K5">
        <v>5</v>
      </c>
      <c r="L5" s="6">
        <v>228493</v>
      </c>
      <c r="M5" s="6">
        <v>228491</v>
      </c>
      <c r="N5">
        <v>2525</v>
      </c>
      <c r="O5">
        <v>8</v>
      </c>
      <c r="P5" t="s">
        <v>21</v>
      </c>
      <c r="Q5">
        <f t="shared" si="2"/>
        <v>304</v>
      </c>
    </row>
    <row r="6" spans="1:17" x14ac:dyDescent="0.25">
      <c r="A6">
        <f t="shared" si="0"/>
        <v>5</v>
      </c>
      <c r="B6" t="s">
        <v>35</v>
      </c>
      <c r="C6" s="8" t="s">
        <v>36</v>
      </c>
      <c r="D6" s="9">
        <v>44392</v>
      </c>
      <c r="E6">
        <f t="shared" si="1"/>
        <v>5</v>
      </c>
      <c r="F6">
        <v>2</v>
      </c>
      <c r="G6">
        <v>5</v>
      </c>
      <c r="H6">
        <v>5</v>
      </c>
      <c r="I6">
        <v>5</v>
      </c>
      <c r="J6">
        <v>5</v>
      </c>
      <c r="K6">
        <v>5</v>
      </c>
      <c r="L6" s="6">
        <v>228125</v>
      </c>
      <c r="M6" s="6">
        <v>228095</v>
      </c>
      <c r="N6" s="4">
        <v>2524</v>
      </c>
      <c r="O6" s="4">
        <v>7</v>
      </c>
      <c r="P6" t="s">
        <v>21</v>
      </c>
      <c r="Q6">
        <f t="shared" si="2"/>
        <v>305</v>
      </c>
    </row>
    <row r="7" spans="1:17" x14ac:dyDescent="0.25">
      <c r="A7">
        <f t="shared" si="0"/>
        <v>6</v>
      </c>
      <c r="B7" t="s">
        <v>44</v>
      </c>
      <c r="C7" s="8" t="s">
        <v>53</v>
      </c>
      <c r="D7" s="9">
        <v>44392</v>
      </c>
      <c r="E7">
        <f t="shared" si="1"/>
        <v>6</v>
      </c>
      <c r="F7">
        <v>2</v>
      </c>
      <c r="G7">
        <v>5</v>
      </c>
      <c r="H7">
        <v>5</v>
      </c>
      <c r="I7">
        <v>5</v>
      </c>
      <c r="J7">
        <v>5</v>
      </c>
      <c r="K7">
        <v>5</v>
      </c>
      <c r="L7" s="6">
        <v>228125</v>
      </c>
      <c r="M7" s="6">
        <v>228062</v>
      </c>
      <c r="N7" s="4">
        <v>2524</v>
      </c>
      <c r="O7" s="4">
        <v>5</v>
      </c>
      <c r="P7" t="s">
        <v>21</v>
      </c>
      <c r="Q7">
        <f t="shared" si="2"/>
        <v>306</v>
      </c>
    </row>
    <row r="8" spans="1:17" x14ac:dyDescent="0.25">
      <c r="A8">
        <f t="shared" si="0"/>
        <v>7</v>
      </c>
      <c r="B8" t="s">
        <v>45</v>
      </c>
      <c r="C8" s="8" t="s">
        <v>54</v>
      </c>
      <c r="D8" s="9">
        <v>44392</v>
      </c>
      <c r="E8">
        <f t="shared" si="1"/>
        <v>7</v>
      </c>
      <c r="F8">
        <v>2</v>
      </c>
      <c r="G8">
        <v>5</v>
      </c>
      <c r="H8">
        <v>5</v>
      </c>
      <c r="I8">
        <v>5</v>
      </c>
      <c r="J8">
        <v>5</v>
      </c>
      <c r="K8">
        <v>5</v>
      </c>
      <c r="L8" s="6">
        <v>228063</v>
      </c>
      <c r="M8" s="6">
        <v>228062</v>
      </c>
      <c r="N8" s="4">
        <v>2524</v>
      </c>
      <c r="O8" s="4">
        <v>5</v>
      </c>
      <c r="P8" t="s">
        <v>21</v>
      </c>
      <c r="Q8">
        <f t="shared" si="2"/>
        <v>307</v>
      </c>
    </row>
    <row r="9" spans="1:17" x14ac:dyDescent="0.25">
      <c r="A9">
        <f t="shared" si="0"/>
        <v>8</v>
      </c>
      <c r="B9" t="s">
        <v>18</v>
      </c>
      <c r="C9" s="8" t="s">
        <v>57</v>
      </c>
      <c r="D9" s="9">
        <v>44392</v>
      </c>
      <c r="E9">
        <f t="shared" si="1"/>
        <v>8</v>
      </c>
      <c r="F9">
        <v>2</v>
      </c>
      <c r="G9">
        <v>5</v>
      </c>
      <c r="H9">
        <v>5</v>
      </c>
      <c r="I9">
        <v>5</v>
      </c>
      <c r="J9">
        <v>5</v>
      </c>
      <c r="K9">
        <v>5</v>
      </c>
      <c r="L9" s="6">
        <v>228490</v>
      </c>
      <c r="M9" s="6">
        <v>228101</v>
      </c>
      <c r="N9">
        <v>2524</v>
      </c>
      <c r="O9">
        <v>7</v>
      </c>
      <c r="P9" t="s">
        <v>21</v>
      </c>
      <c r="Q9">
        <f t="shared" si="2"/>
        <v>308</v>
      </c>
    </row>
    <row r="10" spans="1:17" x14ac:dyDescent="0.25">
      <c r="A10">
        <f t="shared" si="0"/>
        <v>9</v>
      </c>
      <c r="B10" t="s">
        <v>30</v>
      </c>
      <c r="C10" s="8" t="s">
        <v>37</v>
      </c>
      <c r="D10" s="9">
        <v>44392</v>
      </c>
      <c r="E10">
        <f t="shared" si="1"/>
        <v>9</v>
      </c>
      <c r="F10">
        <v>2</v>
      </c>
      <c r="G10">
        <v>5</v>
      </c>
      <c r="H10">
        <v>5</v>
      </c>
      <c r="I10">
        <v>5</v>
      </c>
      <c r="J10">
        <v>5</v>
      </c>
      <c r="K10">
        <v>5</v>
      </c>
      <c r="L10" s="6">
        <v>228490</v>
      </c>
      <c r="M10" s="6">
        <v>228428</v>
      </c>
      <c r="N10">
        <v>2525</v>
      </c>
      <c r="O10">
        <v>5</v>
      </c>
      <c r="P10" t="s">
        <v>21</v>
      </c>
      <c r="Q10">
        <f t="shared" si="2"/>
        <v>309</v>
      </c>
    </row>
    <row r="11" spans="1:17" x14ac:dyDescent="0.25">
      <c r="A11">
        <f t="shared" si="0"/>
        <v>10</v>
      </c>
      <c r="B11" s="4" t="s">
        <v>46</v>
      </c>
      <c r="C11" s="8" t="s">
        <v>56</v>
      </c>
      <c r="D11" s="9">
        <v>44392</v>
      </c>
      <c r="E11">
        <f t="shared" si="1"/>
        <v>10</v>
      </c>
      <c r="F11">
        <v>2</v>
      </c>
      <c r="G11">
        <v>5</v>
      </c>
      <c r="H11">
        <v>5</v>
      </c>
      <c r="I11">
        <v>5</v>
      </c>
      <c r="J11">
        <v>5</v>
      </c>
      <c r="K11">
        <v>5</v>
      </c>
      <c r="L11" s="6">
        <v>228490</v>
      </c>
      <c r="M11" s="6">
        <v>228476</v>
      </c>
      <c r="N11">
        <v>2525</v>
      </c>
      <c r="O11">
        <v>7</v>
      </c>
      <c r="P11" t="s">
        <v>21</v>
      </c>
      <c r="Q11">
        <f t="shared" si="2"/>
        <v>310</v>
      </c>
    </row>
    <row r="12" spans="1:17" x14ac:dyDescent="0.25">
      <c r="A12">
        <v>25</v>
      </c>
      <c r="B12" s="4" t="s">
        <v>55</v>
      </c>
      <c r="C12" s="8" t="s">
        <v>56</v>
      </c>
      <c r="D12" s="9">
        <v>44392</v>
      </c>
      <c r="E12">
        <v>25</v>
      </c>
      <c r="F12">
        <v>2</v>
      </c>
      <c r="G12">
        <v>5</v>
      </c>
      <c r="H12">
        <v>5</v>
      </c>
      <c r="I12">
        <v>5</v>
      </c>
      <c r="J12">
        <v>5</v>
      </c>
      <c r="K12">
        <v>5</v>
      </c>
      <c r="L12" s="6">
        <v>228490</v>
      </c>
      <c r="M12" s="6">
        <v>228476</v>
      </c>
      <c r="N12">
        <v>2525</v>
      </c>
      <c r="O12">
        <v>7</v>
      </c>
      <c r="P12" t="s">
        <v>21</v>
      </c>
      <c r="Q12">
        <f t="shared" si="2"/>
        <v>311</v>
      </c>
    </row>
    <row r="13" spans="1:17" x14ac:dyDescent="0.25">
      <c r="A13">
        <f>A11+1</f>
        <v>11</v>
      </c>
      <c r="B13" t="s">
        <v>22</v>
      </c>
      <c r="C13" s="8" t="s">
        <v>38</v>
      </c>
      <c r="D13" s="9">
        <v>44392</v>
      </c>
      <c r="E13">
        <f>E11+1</f>
        <v>11</v>
      </c>
      <c r="F13">
        <v>1</v>
      </c>
      <c r="G13">
        <v>0</v>
      </c>
      <c r="H13">
        <v>5</v>
      </c>
      <c r="I13">
        <v>5</v>
      </c>
      <c r="J13">
        <v>5</v>
      </c>
      <c r="K13">
        <v>5</v>
      </c>
      <c r="L13" s="6">
        <v>228490</v>
      </c>
      <c r="M13" s="6">
        <v>228466</v>
      </c>
      <c r="N13">
        <v>2525</v>
      </c>
      <c r="O13">
        <v>7</v>
      </c>
      <c r="P13" t="s">
        <v>21</v>
      </c>
      <c r="Q13">
        <f>Q12+1</f>
        <v>312</v>
      </c>
    </row>
    <row r="14" spans="1:17" x14ac:dyDescent="0.25">
      <c r="A14">
        <f t="shared" si="0"/>
        <v>12</v>
      </c>
      <c r="B14" t="s">
        <v>23</v>
      </c>
      <c r="C14" s="8" t="s">
        <v>39</v>
      </c>
      <c r="D14" s="9">
        <v>44392</v>
      </c>
      <c r="E14">
        <f t="shared" si="1"/>
        <v>12</v>
      </c>
      <c r="F14">
        <v>1</v>
      </c>
      <c r="G14">
        <v>5</v>
      </c>
      <c r="H14">
        <v>0</v>
      </c>
      <c r="I14">
        <v>5</v>
      </c>
      <c r="J14">
        <v>5</v>
      </c>
      <c r="K14">
        <v>5</v>
      </c>
      <c r="L14" s="6">
        <v>228490</v>
      </c>
      <c r="M14" s="6">
        <v>228466</v>
      </c>
      <c r="N14">
        <v>2525</v>
      </c>
      <c r="O14">
        <v>7</v>
      </c>
      <c r="P14" t="s">
        <v>21</v>
      </c>
      <c r="Q14">
        <f t="shared" si="2"/>
        <v>313</v>
      </c>
    </row>
    <row r="15" spans="1:17" x14ac:dyDescent="0.25">
      <c r="A15">
        <f t="shared" si="0"/>
        <v>13</v>
      </c>
      <c r="B15" t="s">
        <v>24</v>
      </c>
      <c r="C15" s="8" t="s">
        <v>39</v>
      </c>
      <c r="D15" s="9">
        <v>44392</v>
      </c>
      <c r="E15">
        <f t="shared" si="1"/>
        <v>13</v>
      </c>
      <c r="F15">
        <v>0</v>
      </c>
      <c r="G15">
        <v>5</v>
      </c>
      <c r="H15">
        <v>5</v>
      </c>
      <c r="I15">
        <v>0</v>
      </c>
      <c r="J15">
        <v>5</v>
      </c>
      <c r="K15">
        <v>5</v>
      </c>
      <c r="L15" s="6">
        <v>228490</v>
      </c>
      <c r="M15" s="6">
        <v>228466</v>
      </c>
      <c r="N15">
        <v>2525</v>
      </c>
      <c r="O15">
        <v>7</v>
      </c>
      <c r="P15" t="s">
        <v>21</v>
      </c>
      <c r="Q15">
        <f t="shared" si="2"/>
        <v>314</v>
      </c>
    </row>
    <row r="16" spans="1:17" x14ac:dyDescent="0.25">
      <c r="A16">
        <f t="shared" si="0"/>
        <v>14</v>
      </c>
      <c r="B16" t="s">
        <v>32</v>
      </c>
      <c r="C16" s="8" t="s">
        <v>40</v>
      </c>
      <c r="D16" s="9">
        <v>44392</v>
      </c>
      <c r="E16">
        <f t="shared" si="1"/>
        <v>14</v>
      </c>
      <c r="F16">
        <v>1</v>
      </c>
      <c r="G16" t="s">
        <v>21</v>
      </c>
      <c r="H16">
        <v>5</v>
      </c>
      <c r="I16">
        <v>5</v>
      </c>
      <c r="J16">
        <v>5</v>
      </c>
      <c r="K16">
        <v>5</v>
      </c>
      <c r="L16" s="6">
        <v>228490</v>
      </c>
      <c r="M16" s="6">
        <v>228466</v>
      </c>
      <c r="N16">
        <v>2525</v>
      </c>
      <c r="O16">
        <v>7</v>
      </c>
      <c r="P16" t="s">
        <v>21</v>
      </c>
      <c r="Q16">
        <f t="shared" si="2"/>
        <v>315</v>
      </c>
    </row>
    <row r="17" spans="1:17" x14ac:dyDescent="0.25">
      <c r="A17">
        <f t="shared" si="0"/>
        <v>15</v>
      </c>
      <c r="B17" t="s">
        <v>25</v>
      </c>
      <c r="C17" s="8" t="s">
        <v>41</v>
      </c>
      <c r="D17" s="9">
        <v>44392</v>
      </c>
      <c r="E17">
        <f t="shared" si="1"/>
        <v>15</v>
      </c>
      <c r="F17">
        <v>1</v>
      </c>
      <c r="G17">
        <v>5</v>
      </c>
      <c r="H17" t="s">
        <v>21</v>
      </c>
      <c r="I17">
        <v>5</v>
      </c>
      <c r="J17">
        <v>5</v>
      </c>
      <c r="K17">
        <v>5</v>
      </c>
      <c r="L17" s="6">
        <v>228490</v>
      </c>
      <c r="M17" s="6">
        <v>228466</v>
      </c>
      <c r="N17">
        <v>2525</v>
      </c>
      <c r="O17">
        <v>7</v>
      </c>
      <c r="P17" t="s">
        <v>21</v>
      </c>
      <c r="Q17">
        <f t="shared" si="2"/>
        <v>316</v>
      </c>
    </row>
    <row r="18" spans="1:17" x14ac:dyDescent="0.25">
      <c r="A18">
        <f t="shared" si="0"/>
        <v>16</v>
      </c>
      <c r="B18" t="s">
        <v>26</v>
      </c>
      <c r="C18" s="8" t="s">
        <v>41</v>
      </c>
      <c r="D18" s="9">
        <v>44392</v>
      </c>
      <c r="E18">
        <f t="shared" si="1"/>
        <v>16</v>
      </c>
      <c r="F18">
        <v>0</v>
      </c>
      <c r="G18">
        <v>5</v>
      </c>
      <c r="H18">
        <v>5</v>
      </c>
      <c r="I18" t="s">
        <v>21</v>
      </c>
      <c r="J18">
        <v>5</v>
      </c>
      <c r="K18">
        <v>5</v>
      </c>
      <c r="L18" s="6">
        <v>228490</v>
      </c>
      <c r="M18" s="6">
        <v>228466</v>
      </c>
      <c r="N18">
        <v>2525</v>
      </c>
      <c r="O18">
        <v>7</v>
      </c>
      <c r="P18" t="s">
        <v>21</v>
      </c>
      <c r="Q18">
        <f t="shared" si="2"/>
        <v>317</v>
      </c>
    </row>
    <row r="19" spans="1:17" x14ac:dyDescent="0.25">
      <c r="A19">
        <f t="shared" si="0"/>
        <v>17</v>
      </c>
      <c r="B19" t="s">
        <v>17</v>
      </c>
      <c r="C19" s="8" t="s">
        <v>42</v>
      </c>
      <c r="D19" s="9">
        <v>44392</v>
      </c>
      <c r="E19">
        <f t="shared" si="1"/>
        <v>17</v>
      </c>
      <c r="F19">
        <v>2</v>
      </c>
      <c r="G19">
        <v>5</v>
      </c>
      <c r="H19">
        <v>5</v>
      </c>
      <c r="I19">
        <v>5</v>
      </c>
      <c r="J19">
        <v>5</v>
      </c>
      <c r="K19">
        <v>55</v>
      </c>
      <c r="L19" s="6">
        <v>228490</v>
      </c>
      <c r="M19" s="6">
        <v>228466</v>
      </c>
      <c r="N19">
        <v>2525</v>
      </c>
      <c r="O19">
        <v>7</v>
      </c>
      <c r="P19" t="s">
        <v>21</v>
      </c>
      <c r="Q19">
        <f t="shared" si="2"/>
        <v>318</v>
      </c>
    </row>
    <row r="20" spans="1:17" x14ac:dyDescent="0.25">
      <c r="A20">
        <f t="shared" si="0"/>
        <v>18</v>
      </c>
      <c r="B20" t="s">
        <v>20</v>
      </c>
      <c r="C20" s="8" t="s">
        <v>43</v>
      </c>
      <c r="D20" s="9">
        <v>44392</v>
      </c>
      <c r="E20">
        <f t="shared" si="1"/>
        <v>18</v>
      </c>
      <c r="F20">
        <v>2</v>
      </c>
      <c r="G20">
        <v>5</v>
      </c>
      <c r="H20">
        <v>5</v>
      </c>
      <c r="I20">
        <v>5</v>
      </c>
      <c r="J20">
        <v>5</v>
      </c>
      <c r="K20">
        <v>5</v>
      </c>
      <c r="L20" s="6">
        <v>228428</v>
      </c>
      <c r="M20" s="6">
        <v>228418</v>
      </c>
      <c r="N20">
        <v>2525</v>
      </c>
      <c r="O20">
        <v>5</v>
      </c>
      <c r="P20" t="s">
        <v>21</v>
      </c>
      <c r="Q20">
        <f t="shared" si="2"/>
        <v>319</v>
      </c>
    </row>
    <row r="21" spans="1:17" x14ac:dyDescent="0.25">
      <c r="A21">
        <f t="shared" si="0"/>
        <v>19</v>
      </c>
      <c r="B21" t="s">
        <v>47</v>
      </c>
      <c r="C21" s="8" t="s">
        <v>21</v>
      </c>
      <c r="D21" s="9">
        <v>44392</v>
      </c>
      <c r="E21">
        <v>71</v>
      </c>
      <c r="F21">
        <v>2</v>
      </c>
      <c r="G21">
        <v>5</v>
      </c>
      <c r="H21">
        <v>5</v>
      </c>
      <c r="I21">
        <v>5</v>
      </c>
      <c r="J21">
        <v>5</v>
      </c>
      <c r="K21">
        <v>5</v>
      </c>
      <c r="L21" s="6">
        <v>228490</v>
      </c>
      <c r="M21" s="6">
        <v>228466</v>
      </c>
      <c r="N21">
        <v>2525</v>
      </c>
      <c r="O21">
        <v>7</v>
      </c>
      <c r="P21" t="s">
        <v>21</v>
      </c>
      <c r="Q21">
        <f t="shared" si="2"/>
        <v>320</v>
      </c>
    </row>
    <row r="22" spans="1:17" x14ac:dyDescent="0.25">
      <c r="A22">
        <f t="shared" si="0"/>
        <v>20</v>
      </c>
      <c r="B22" t="s">
        <v>48</v>
      </c>
      <c r="C22" s="8" t="s">
        <v>21</v>
      </c>
      <c r="D22" s="9">
        <v>44392</v>
      </c>
      <c r="E22">
        <v>72</v>
      </c>
      <c r="F22">
        <v>2</v>
      </c>
      <c r="G22">
        <v>5</v>
      </c>
      <c r="H22">
        <v>5</v>
      </c>
      <c r="I22">
        <v>5</v>
      </c>
      <c r="J22">
        <v>5</v>
      </c>
      <c r="K22">
        <v>5</v>
      </c>
      <c r="L22" s="6">
        <v>228490</v>
      </c>
      <c r="M22" s="6">
        <v>228466</v>
      </c>
      <c r="N22">
        <v>2525</v>
      </c>
      <c r="O22">
        <v>7</v>
      </c>
      <c r="P22" t="s">
        <v>21</v>
      </c>
      <c r="Q22">
        <f t="shared" si="2"/>
        <v>321</v>
      </c>
    </row>
    <row r="23" spans="1:17" x14ac:dyDescent="0.25">
      <c r="A23">
        <f t="shared" si="0"/>
        <v>21</v>
      </c>
      <c r="B23" t="s">
        <v>58</v>
      </c>
      <c r="C23" s="11" t="s">
        <v>60</v>
      </c>
      <c r="D23" s="9">
        <v>44393</v>
      </c>
      <c r="E23">
        <v>73</v>
      </c>
      <c r="F23">
        <v>2</v>
      </c>
      <c r="G23">
        <v>5</v>
      </c>
      <c r="H23">
        <v>5</v>
      </c>
      <c r="I23">
        <v>5</v>
      </c>
      <c r="J23">
        <v>5</v>
      </c>
      <c r="K23">
        <v>5</v>
      </c>
      <c r="L23" s="6">
        <v>228492</v>
      </c>
      <c r="M23" s="6">
        <v>228492</v>
      </c>
      <c r="N23">
        <v>2525</v>
      </c>
      <c r="O23">
        <v>7</v>
      </c>
      <c r="P23" t="s">
        <v>21</v>
      </c>
      <c r="Q23">
        <f t="shared" si="2"/>
        <v>322</v>
      </c>
    </row>
    <row r="24" spans="1:17" x14ac:dyDescent="0.25">
      <c r="A24">
        <f t="shared" si="0"/>
        <v>22</v>
      </c>
      <c r="B24" t="s">
        <v>49</v>
      </c>
      <c r="C24" s="8" t="s">
        <v>21</v>
      </c>
      <c r="D24" s="10">
        <v>44392</v>
      </c>
      <c r="E24">
        <v>74</v>
      </c>
      <c r="F24">
        <v>2</v>
      </c>
      <c r="G24">
        <v>5</v>
      </c>
      <c r="H24">
        <v>5</v>
      </c>
      <c r="I24">
        <v>5</v>
      </c>
      <c r="J24">
        <v>5</v>
      </c>
      <c r="K24">
        <v>5</v>
      </c>
      <c r="L24" s="6">
        <v>228490</v>
      </c>
      <c r="M24" s="6">
        <v>228466</v>
      </c>
      <c r="N24">
        <v>2525</v>
      </c>
      <c r="O24">
        <v>7</v>
      </c>
      <c r="P24" t="s">
        <v>21</v>
      </c>
      <c r="Q24">
        <f t="shared" si="2"/>
        <v>323</v>
      </c>
    </row>
    <row r="25" spans="1:17" x14ac:dyDescent="0.25">
      <c r="A25">
        <v>23</v>
      </c>
      <c r="B25" t="s">
        <v>50</v>
      </c>
      <c r="C25" s="8" t="s">
        <v>51</v>
      </c>
      <c r="D25" s="9">
        <v>44392</v>
      </c>
      <c r="E25">
        <v>80</v>
      </c>
      <c r="F25">
        <v>2</v>
      </c>
      <c r="G25">
        <v>5</v>
      </c>
      <c r="H25">
        <v>5</v>
      </c>
      <c r="I25">
        <v>5</v>
      </c>
      <c r="J25">
        <v>5</v>
      </c>
      <c r="K25">
        <v>5</v>
      </c>
      <c r="L25" s="6">
        <v>228490</v>
      </c>
      <c r="M25" s="6">
        <v>228466</v>
      </c>
      <c r="N25">
        <v>2525</v>
      </c>
      <c r="O25">
        <v>7</v>
      </c>
      <c r="P25" t="s">
        <v>21</v>
      </c>
      <c r="Q25">
        <f t="shared" si="2"/>
        <v>324</v>
      </c>
    </row>
    <row r="26" spans="1:17" x14ac:dyDescent="0.25">
      <c r="A26">
        <v>24</v>
      </c>
      <c r="B26" t="s">
        <v>52</v>
      </c>
      <c r="C26" s="8" t="s">
        <v>51</v>
      </c>
      <c r="D26" s="9">
        <v>44392</v>
      </c>
      <c r="E26">
        <v>81</v>
      </c>
      <c r="F26">
        <v>2</v>
      </c>
      <c r="G26">
        <v>5</v>
      </c>
      <c r="H26">
        <v>5</v>
      </c>
      <c r="I26">
        <v>5</v>
      </c>
      <c r="J26">
        <v>5</v>
      </c>
      <c r="K26">
        <v>5</v>
      </c>
      <c r="L26" s="6">
        <v>228490</v>
      </c>
      <c r="M26" s="6">
        <v>228466</v>
      </c>
      <c r="N26">
        <v>2525</v>
      </c>
      <c r="O26">
        <v>7</v>
      </c>
      <c r="P26" t="s">
        <v>21</v>
      </c>
      <c r="Q26">
        <f t="shared" si="2"/>
        <v>325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2015-06-05T18:17:20Z</dcterms:created>
  <dcterms:modified xsi:type="dcterms:W3CDTF">2021-07-16T21:21:10Z</dcterms:modified>
</cp:coreProperties>
</file>